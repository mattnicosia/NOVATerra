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B:\MHB-Estimating\2025\E2502000 - South Hill\"/>
    </mc:Choice>
  </mc:AlternateContent>
  <xr:revisionPtr revIDLastSave="0" documentId="13_ncr:1_{269E2F83-8876-4A39-8E9C-BDA0E03D229C}" xr6:coauthVersionLast="47" xr6:coauthVersionMax="47" xr10:uidLastSave="{00000000-0000-0000-0000-000000000000}"/>
  <bookViews>
    <workbookView xWindow="28005" yWindow="555" windowWidth="2226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</calcChain>
</file>

<file path=xl/sharedStrings.xml><?xml version="1.0" encoding="utf-8"?>
<sst xmlns="http://schemas.openxmlformats.org/spreadsheetml/2006/main" count="39" uniqueCount="15">
  <si>
    <t>Description</t>
  </si>
  <si>
    <t>Total Estimate</t>
  </si>
  <si>
    <t>Main House</t>
  </si>
  <si>
    <t>Guest House</t>
  </si>
  <si>
    <t>Garage</t>
  </si>
  <si>
    <t>Sauna</t>
  </si>
  <si>
    <t>Pool</t>
  </si>
  <si>
    <t>Outdoor Shower</t>
  </si>
  <si>
    <t>Outdoor Kitchen</t>
  </si>
  <si>
    <t>The Woodland</t>
  </si>
  <si>
    <t>The Windham</t>
  </si>
  <si>
    <t>Sell Price (÷ 0.94)</t>
  </si>
  <si>
    <t>Broker's Fee (x 6%)</t>
  </si>
  <si>
    <t>Upgraded Garage</t>
  </si>
  <si>
    <t>The Hudson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</si>
</sst>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44" fontId="0" fillId="0" borderId="1" xfId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3"/>
  <sheetViews>
    <sheetView tabSelected="1" workbookViewId="0">
      <selection activeCell="G10" sqref="G10"/>
    </sheetView>
  </sheetViews>
  <sheetFormatPr defaultRowHeight="15" x14ac:dyDescent="0.25"/>
  <cols>
    <col min="1" max="1" width="39" bestFit="1" customWidth="1"/>
    <col min="2" max="3" width="16.7109375" customWidth="1"/>
    <col min="4" max="4" width="18" customWidth="1"/>
    <col min="5" max="5" width="17.140625" customWidth="1"/>
  </cols>
  <sheetData>
    <row r="2" spans="1:5" x14ac:dyDescent="0.25">
      <c r="A2" s="5" t="s">
        <v>9</v>
      </c>
      <c r="B2" s="5"/>
      <c r="C2" s="5"/>
      <c r="D2" s="5"/>
    </row>
    <row r="3" spans="1:5" x14ac:dyDescent="0.25">
      <c r="A3" s="1" t="s">
        <v>0</v>
      </c>
      <c r="B3" s="4" t="s">
        <v>1</v>
      </c>
      <c r="C3" s="4" t="s">
        <v>11</v>
      </c>
      <c r="D3" s="4" t="s">
        <v>12</v>
      </c>
    </row>
    <row r="4" spans="1:5" x14ac:dyDescent="0.25">
      <c r="A4" s="2" t="s">
        <v>2</v>
      </c>
      <c r="B4" s="3">
        <v>1233181</v>
      </c>
      <c r="C4" s="3">
        <f>B4/0.94</f>
        <v>1311894.6808510639</v>
      </c>
      <c r="D4" s="3">
        <f>C4*0.06</f>
        <v>78713.680851063837</v>
      </c>
    </row>
    <row r="5" spans="1:5" x14ac:dyDescent="0.25">
      <c r="A5" s="2" t="s">
        <v>3</v>
      </c>
      <c r="B5" s="3">
        <v>250998</v>
      </c>
      <c r="C5" s="3">
        <f t="shared" ref="C5:C11" si="0">B5/0.94</f>
        <v>267019.14893617021</v>
      </c>
      <c r="D5" s="3">
        <f t="shared" ref="D5:D11" si="1">C5*0.06</f>
        <v>16021.148936170212</v>
      </c>
    </row>
    <row r="6" spans="1:5" x14ac:dyDescent="0.25">
      <c r="A6" s="2" t="s">
        <v>4</v>
      </c>
      <c r="B6" s="3">
        <v>150118</v>
      </c>
      <c r="C6" s="3">
        <f t="shared" si="0"/>
        <v>159700</v>
      </c>
      <c r="D6" s="3">
        <f t="shared" si="1"/>
        <v>9582</v>
      </c>
    </row>
    <row r="7" spans="1:5" x14ac:dyDescent="0.25">
      <c r="A7" s="2" t="s">
        <v>13</v>
      </c>
      <c r="B7" s="3">
        <v>171686</v>
      </c>
      <c r="C7" s="3">
        <f t="shared" si="0"/>
        <v>182644.68085106384</v>
      </c>
      <c r="D7" s="3">
        <f t="shared" si="1"/>
        <v>10958.680851063829</v>
      </c>
    </row>
    <row r="8" spans="1:5" x14ac:dyDescent="0.25">
      <c r="A8" s="2" t="s">
        <v>5</v>
      </c>
      <c r="B8" s="3">
        <v>53121</v>
      </c>
      <c r="C8" s="3">
        <f t="shared" si="0"/>
        <v>56511.702127659577</v>
      </c>
      <c r="D8" s="3">
        <f t="shared" si="1"/>
        <v>3390.7021276595747</v>
      </c>
    </row>
    <row r="9" spans="1:5" x14ac:dyDescent="0.25">
      <c r="A9" s="2" t="s">
        <v>6</v>
      </c>
      <c r="B9" s="3">
        <v>284511</v>
      </c>
      <c r="C9" s="3">
        <f t="shared" si="0"/>
        <v>302671.27659574471</v>
      </c>
      <c r="D9" s="3">
        <f t="shared" si="1"/>
        <v>18160.276595744683</v>
      </c>
    </row>
    <row r="10" spans="1:5" x14ac:dyDescent="0.25">
      <c r="A10" s="2" t="s">
        <v>7</v>
      </c>
      <c r="B10" s="3">
        <v>9935</v>
      </c>
      <c r="C10" s="3">
        <f t="shared" si="0"/>
        <v>10569.148936170213</v>
      </c>
      <c r="D10" s="3">
        <f t="shared" si="1"/>
        <v>634.14893617021278</v>
      </c>
    </row>
    <row r="11" spans="1:5" x14ac:dyDescent="0.25">
      <c r="A11" s="2" t="s">
        <v>8</v>
      </c>
      <c r="B11" s="3">
        <v>33608</v>
      </c>
      <c r="C11" s="3">
        <f t="shared" si="0"/>
        <v>35753.191489361707</v>
      </c>
      <c r="D11" s="3">
        <f t="shared" si="1"/>
        <v>2145.1914893617022</v>
      </c>
    </row>
    <row r="13" spans="1:5" x14ac:dyDescent="0.25">
      <c r="A13" s="5" t="s">
        <v>10</v>
      </c>
      <c r="B13" s="5"/>
      <c r="C13" s="5"/>
      <c r="D13" s="5"/>
    </row>
    <row r="14" spans="1:5" x14ac:dyDescent="0.25">
      <c r="A14" s="1" t="s">
        <v>0</v>
      </c>
      <c r="B14" s="4" t="s">
        <v>1</v>
      </c>
      <c r="C14" s="4" t="s">
        <v>11</v>
      </c>
      <c r="D14" s="4" t="s">
        <v>12</v>
      </c>
    </row>
    <row r="15" spans="1:5" x14ac:dyDescent="0.25">
      <c r="A15" s="2" t="s">
        <v>2</v>
      </c>
      <c r="B15" s="3">
        <v>1588797</v>
      </c>
      <c r="C15" s="3">
        <f>B15/0.94</f>
        <v>1690209.5744680853</v>
      </c>
      <c r="D15" s="3">
        <f>C15*0.06</f>
        <v>101412.57446808512</v>
      </c>
      <c r="E15" s="6"/>
    </row>
    <row r="16" spans="1:5" x14ac:dyDescent="0.25">
      <c r="A16" s="2" t="s">
        <v>3</v>
      </c>
      <c r="B16" s="3">
        <v>273876</v>
      </c>
      <c r="C16" s="3">
        <f t="shared" ref="C16:C22" si="2">B16/0.94</f>
        <v>291357.44680851063</v>
      </c>
      <c r="D16" s="3">
        <f t="shared" ref="D16:D22" si="3">C16*0.06</f>
        <v>17481.446808510638</v>
      </c>
    </row>
    <row r="17" spans="1:4" x14ac:dyDescent="0.25">
      <c r="A17" s="2" t="s">
        <v>4</v>
      </c>
      <c r="B17" s="3">
        <v>154967</v>
      </c>
      <c r="C17" s="3">
        <f t="shared" si="2"/>
        <v>164858.51063829788</v>
      </c>
      <c r="D17" s="3">
        <f t="shared" si="3"/>
        <v>9891.510638297872</v>
      </c>
    </row>
    <row r="18" spans="1:4" x14ac:dyDescent="0.25">
      <c r="A18" s="2" t="s">
        <v>13</v>
      </c>
      <c r="B18" s="3">
        <v>177434</v>
      </c>
      <c r="C18" s="3">
        <f t="shared" si="2"/>
        <v>188759.57446808511</v>
      </c>
      <c r="D18" s="3">
        <f t="shared" si="3"/>
        <v>11325.574468085106</v>
      </c>
    </row>
    <row r="19" spans="1:4" x14ac:dyDescent="0.25">
      <c r="A19" s="2" t="s">
        <v>5</v>
      </c>
      <c r="B19" s="3">
        <v>62202</v>
      </c>
      <c r="C19" s="3">
        <f t="shared" si="2"/>
        <v>66172.340425531918</v>
      </c>
      <c r="D19" s="3">
        <f t="shared" si="3"/>
        <v>3970.3404255319151</v>
      </c>
    </row>
    <row r="20" spans="1:4" x14ac:dyDescent="0.25">
      <c r="A20" s="2" t="s">
        <v>6</v>
      </c>
      <c r="B20" s="3">
        <v>284511</v>
      </c>
      <c r="C20" s="3">
        <f t="shared" si="2"/>
        <v>302671.27659574471</v>
      </c>
      <c r="D20" s="3">
        <f t="shared" si="3"/>
        <v>18160.276595744683</v>
      </c>
    </row>
    <row r="21" spans="1:4" x14ac:dyDescent="0.25">
      <c r="A21" s="2" t="s">
        <v>7</v>
      </c>
      <c r="B21" s="3">
        <v>10896</v>
      </c>
      <c r="C21" s="3">
        <f t="shared" si="2"/>
        <v>11591.489361702128</v>
      </c>
      <c r="D21" s="3">
        <f t="shared" si="3"/>
        <v>695.48936170212767</v>
      </c>
    </row>
    <row r="22" spans="1:4" x14ac:dyDescent="0.25">
      <c r="A22" s="2" t="s">
        <v>8</v>
      </c>
      <c r="B22" s="3">
        <v>33608</v>
      </c>
      <c r="C22" s="3">
        <f t="shared" si="2"/>
        <v>35753.191489361707</v>
      </c>
      <c r="D22" s="3">
        <f t="shared" si="3"/>
        <v>2145.1914893617022</v>
      </c>
    </row>
    <row r="24" spans="1:4" x14ac:dyDescent="0.25">
      <c r="A24" s="5" t="s">
        <v>14</v>
      </c>
      <c r="B24" s="5"/>
      <c r="C24" s="5"/>
      <c r="D24" s="5"/>
    </row>
    <row r="25" spans="1:4" x14ac:dyDescent="0.25">
      <c r="A25" s="1" t="s">
        <v>0</v>
      </c>
      <c r="B25" s="4" t="s">
        <v>1</v>
      </c>
      <c r="C25" s="4" t="s">
        <v>11</v>
      </c>
      <c r="D25" s="4" t="s">
        <v>12</v>
      </c>
    </row>
    <row r="26" spans="1:4" x14ac:dyDescent="0.25">
      <c r="A26" s="2" t="s">
        <v>2</v>
      </c>
      <c r="B26" s="3"/>
      <c r="C26" s="3">
        <f>B26/0.94</f>
        <v>0</v>
      </c>
      <c r="D26" s="3">
        <f>C26*0.06</f>
        <v>0</v>
      </c>
    </row>
    <row r="27" spans="1:4" x14ac:dyDescent="0.25">
      <c r="A27" s="2" t="s">
        <v>3</v>
      </c>
      <c r="B27" s="3"/>
      <c r="C27" s="3">
        <f t="shared" ref="C27:C33" si="4">B27/0.94</f>
        <v>0</v>
      </c>
      <c r="D27" s="3">
        <f t="shared" ref="D27:D33" si="5">C27*0.06</f>
        <v>0</v>
      </c>
    </row>
    <row r="28" spans="1:4" x14ac:dyDescent="0.25">
      <c r="A28" s="2" t="s">
        <v>4</v>
      </c>
      <c r="B28" s="3"/>
      <c r="C28" s="3">
        <f t="shared" si="4"/>
        <v>0</v>
      </c>
      <c r="D28" s="3">
        <f t="shared" si="5"/>
        <v>0</v>
      </c>
    </row>
    <row r="29" spans="1:4" x14ac:dyDescent="0.25">
      <c r="A29" s="2" t="s">
        <v>13</v>
      </c>
      <c r="B29" s="3"/>
      <c r="C29" s="3">
        <f t="shared" si="4"/>
        <v>0</v>
      </c>
      <c r="D29" s="3">
        <f t="shared" si="5"/>
        <v>0</v>
      </c>
    </row>
    <row r="30" spans="1:4" x14ac:dyDescent="0.25">
      <c r="A30" s="2" t="s">
        <v>5</v>
      </c>
      <c r="B30" s="3"/>
      <c r="C30" s="3">
        <f t="shared" si="4"/>
        <v>0</v>
      </c>
      <c r="D30" s="3">
        <f t="shared" si="5"/>
        <v>0</v>
      </c>
    </row>
    <row r="31" spans="1:4" x14ac:dyDescent="0.25">
      <c r="A31" s="2" t="s">
        <v>6</v>
      </c>
      <c r="B31" s="3"/>
      <c r="C31" s="3">
        <f t="shared" si="4"/>
        <v>0</v>
      </c>
      <c r="D31" s="3">
        <f t="shared" si="5"/>
        <v>0</v>
      </c>
    </row>
    <row r="32" spans="1:4" x14ac:dyDescent="0.25">
      <c r="A32" s="2" t="s">
        <v>7</v>
      </c>
      <c r="B32" s="3"/>
      <c r="C32" s="3">
        <f t="shared" si="4"/>
        <v>0</v>
      </c>
      <c r="D32" s="3">
        <f t="shared" si="5"/>
        <v>0</v>
      </c>
    </row>
    <row r="33" spans="1:4" x14ac:dyDescent="0.25">
      <c r="A33" s="2" t="s">
        <v>8</v>
      </c>
      <c r="B33" s="3"/>
      <c r="C33" s="3">
        <f t="shared" si="4"/>
        <v>0</v>
      </c>
      <c r="D33" s="3">
        <f t="shared" si="5"/>
        <v>0</v>
      </c>
    </row>
  </sheetData>
  <mergeCells count="3">
    <mergeCell ref="A2:D2"/>
    <mergeCell ref="A13:D13"/>
    <mergeCell ref="A24:D2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Nicosia</dc:creator>
  <cp:lastModifiedBy>Matt Nicosia</cp:lastModifiedBy>
  <cp:lastPrinted>2025-08-07T20:52:34Z</cp:lastPrinted>
  <dcterms:created xsi:type="dcterms:W3CDTF">2015-06-05T18:17:20Z</dcterms:created>
  <dcterms:modified xsi:type="dcterms:W3CDTF">2025-08-07T21:02:43Z</dcterms:modified>
</cp:coreProperties>
</file>