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L:\Active Constructions Projects\2024\24-038 60 Bank St\Proposal\"/>
    </mc:Choice>
  </mc:AlternateContent>
  <xr:revisionPtr revIDLastSave="0" documentId="13_ncr:1_{8B0D82EC-4D4C-441A-B708-3C2392F9D017}" xr6:coauthVersionLast="47" xr6:coauthVersionMax="47" xr10:uidLastSave="{00000000-0000-0000-0000-000000000000}"/>
  <bookViews>
    <workbookView xWindow="-96" yWindow="-96" windowWidth="19392" windowHeight="10536" firstSheet="2" activeTab="7" xr2:uid="{00000000-000D-0000-FFFF-FFFF00000000}"/>
    <workbookView xWindow="-96" yWindow="-96" windowWidth="19392" windowHeight="10536" firstSheet="2" activeTab="2" xr2:uid="{CA2E2023-F1C1-4DA3-A1A8-0EDA4C41457E}"/>
  </bookViews>
  <sheets>
    <sheet name="RFE" sheetId="10" state="hidden" r:id="rId1"/>
    <sheet name="RFELINK" sheetId="12" state="hidden" r:id="rId2"/>
    <sheet name="CVR LETTER" sheetId="16" r:id="rId3"/>
    <sheet name="Summary Sheet " sheetId="3" r:id="rId4"/>
    <sheet name="VE" sheetId="20" r:id="rId5"/>
    <sheet name="Drawing Manifest" sheetId="15" state="hidden" r:id="rId6"/>
    <sheet name="Notes &amp; Clarifications" sheetId="4" r:id="rId7"/>
    <sheet name="Estimate" sheetId="1" r:id="rId8"/>
    <sheet name="Sheet1" sheetId="19" state="hidden" r:id="rId9"/>
    <sheet name="General Conditions" sheetId="2" state="hidden" r:id="rId10"/>
    <sheet name="Bid Comparison " sheetId="5" state="hidden" r:id="rId11"/>
    <sheet name="Sheet4" sheetId="21" state="hidden" r:id="rId12"/>
    <sheet name="Kit" sheetId="11" state="hidden" r:id="rId13"/>
    <sheet name="RFI" sheetId="13" state="hidden" r:id="rId14"/>
    <sheet name="Sheet2" sheetId="14" state="hidden" r:id="rId15"/>
  </sheets>
  <externalReferences>
    <externalReference r:id="rId16"/>
    <externalReference r:id="rId17"/>
    <externalReference r:id="rId18"/>
    <externalReference r:id="rId19"/>
    <externalReference r:id="rId20"/>
  </externalReferences>
  <definedNames>
    <definedName name="_Fill" localSheetId="7" hidden="1">Estimate!#REF!</definedName>
    <definedName name="_Fill" localSheetId="9" hidden="1">'General Conditions'!$B$25:$B$37</definedName>
    <definedName name="_xlnm._FilterDatabase" localSheetId="12" hidden="1">Kit!$I$9:$I$83</definedName>
    <definedName name="address">RFELINK!$C$2</definedName>
    <definedName name="amount" localSheetId="2">[1]RFELINK!#REF!</definedName>
    <definedName name="amount">RFELINK!#REF!</definedName>
    <definedName name="architect" localSheetId="2">[2]RFELINK!$U$2</definedName>
    <definedName name="architect">RFELINK!$U$2</definedName>
    <definedName name="basejobfee">RFELINK!$M$2</definedName>
    <definedName name="basejobgc">RFELINK!$K$2</definedName>
    <definedName name="basejobins">RFELINK!$L$2</definedName>
    <definedName name="client">RFELINK!$S$2</definedName>
    <definedName name="cofee">RFELINK!$P$2</definedName>
    <definedName name="cogc">RFELINK!$N$2</definedName>
    <definedName name="coins">RFELINK!$O$2</definedName>
    <definedName name="contacts" localSheetId="2">[2]RFELINK!$A$9:$P$4051</definedName>
    <definedName name="contacts">RFELINK!$A$9:$P$1006</definedName>
    <definedName name="conum" localSheetId="2">[2]RFELINK!$AI$2</definedName>
    <definedName name="conum">RFELINK!#REF!</definedName>
    <definedName name="CreateDate">RFELINK!$G$2</definedName>
    <definedName name="datetyped" localSheetId="2">[1]RFELINK!#REF!</definedName>
    <definedName name="datetyped">RFELINK!#REF!</definedName>
    <definedName name="Demolition" localSheetId="2">'[3]Budget Breakdown'!$A$9:$IV$67</definedName>
    <definedName name="Demolition">Estimate!$8:$62</definedName>
    <definedName name="DueDate">RFELINK!$I$2</definedName>
    <definedName name="engineer">RFELINK!$V$2</definedName>
    <definedName name="Estimator">RFELINK!$H$2</definedName>
    <definedName name="Executive" localSheetId="2">[2]RFELINK!$AE$2</definedName>
    <definedName name="Executive">RFELINK!$Y$2</definedName>
    <definedName name="Expeditor" localSheetId="2">[1]RFELINK!#REF!</definedName>
    <definedName name="Expeditor">RFELINK!#REF!</definedName>
    <definedName name="Floor">RFELINK!$D$2</definedName>
    <definedName name="From">RFELINK!$F$2</definedName>
    <definedName name="JobNum" localSheetId="2">[2]RFELINK!$E$2</definedName>
    <definedName name="JobNum">RFELINK!$E$2</definedName>
    <definedName name="location" localSheetId="2">[1]RFELINK!#REF!</definedName>
    <definedName name="location">RFELINK!#REF!</definedName>
    <definedName name="NAME" localSheetId="2">'[3]Budget Breakdown'!#REF!</definedName>
    <definedName name="NAME" localSheetId="9">'General Conditions'!$D$2</definedName>
    <definedName name="NAME" localSheetId="3">Estimate!#REF!</definedName>
    <definedName name="NAME">Estimate!#REF!</definedName>
    <definedName name="_xlnm.Print_Area" localSheetId="10">'Bid Comparison '!$A$12:$S$92</definedName>
    <definedName name="_xlnm.Print_Area" localSheetId="2">'CVR LETTER'!$A$1:$J$44</definedName>
    <definedName name="_xlnm.Print_Area" localSheetId="5">'Drawing Manifest'!$A$1:$D$77</definedName>
    <definedName name="_xlnm.Print_Area" localSheetId="7">Estimate!$A$1:$H$421</definedName>
    <definedName name="_xlnm.Print_Area" localSheetId="9">'General Conditions'!$A$10:$H$40</definedName>
    <definedName name="_xlnm.Print_Area" localSheetId="12">Kit!$A$1:$G$84</definedName>
    <definedName name="_xlnm.Print_Area" localSheetId="6">'Notes &amp; Clarifications'!$A$1:$B$39</definedName>
    <definedName name="_xlnm.Print_Area" localSheetId="0">RFE!$A$1:$G$53</definedName>
    <definedName name="_xlnm.Print_Area" localSheetId="3">'Summary Sheet '!$A$1:$F$116</definedName>
    <definedName name="_xlnm.Print_Area" localSheetId="4">VE!$A$1:$C$33</definedName>
    <definedName name="_xlnm.Print_Titles" localSheetId="10">'Bid Comparison '!$1:$9</definedName>
    <definedName name="_xlnm.Print_Titles" localSheetId="5">'Drawing Manifest'!$1:$10</definedName>
    <definedName name="_xlnm.Print_Titles" localSheetId="7">Estimate!$1:$7</definedName>
    <definedName name="_xlnm.Print_Titles" localSheetId="9">'General Conditions'!$1:$9</definedName>
    <definedName name="_xlnm.Print_Titles" localSheetId="6">'Notes &amp; Clarifications'!$1:$9</definedName>
    <definedName name="_xlnm.Print_Titles" localSheetId="3">'Summary Sheet '!$1:$5</definedName>
    <definedName name="projectmgr" localSheetId="2">[2]RFELINK!$AF$2</definedName>
    <definedName name="Projectmgr">RFELINK!$Z$2</definedName>
    <definedName name="PropName">RFELINK!$B$2</definedName>
    <definedName name="PropNum" localSheetId="2">[2]RFELINK!$A$2</definedName>
    <definedName name="PropNum">RFELINK!$A$2</definedName>
    <definedName name="Proposal" localSheetId="2">'[4]Budget Breakdown'!#REF!</definedName>
    <definedName name="Proposal">'[4]Budget Breakdown'!#REF!</definedName>
    <definedName name="regsf" localSheetId="2">[1]RFELINK!$AC$2</definedName>
    <definedName name="regsf">RFELINK!$AC$2</definedName>
    <definedName name="remarks">RFELINK!$AD$2</definedName>
    <definedName name="rentablesf" localSheetId="2">[1]RFELINK!#REF!</definedName>
    <definedName name="rentablesf">RFELINK!#REF!</definedName>
    <definedName name="representative">RFELINK!$T$2</definedName>
    <definedName name="RFE" localSheetId="1">RFELINK!$A$1:$AD$3</definedName>
    <definedName name="RFE_From_Access_to_Excel" localSheetId="1">RFELINK!$A$1:$V$2</definedName>
    <definedName name="RFEContacts" localSheetId="1">RFELINK!$A$9:$R$1006</definedName>
    <definedName name="rfetype">RFELINK!$J$2</definedName>
    <definedName name="Summary2" localSheetId="2">'[3]Budget Breakdown'!$D$2</definedName>
    <definedName name="Summary2">Estimate!$D$2</definedName>
    <definedName name="typerequest" localSheetId="2">[2]RFELINK!$AG$2</definedName>
    <definedName name="TypeRequest">RFELINK!$AA$2</definedName>
    <definedName name="usablesf" localSheetId="2">[2]RFELINK!$Q$2</definedName>
    <definedName name="usablesf">RFELINK!$AB$2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1" i="3" l="1"/>
  <c r="E112" i="3"/>
  <c r="E113" i="3"/>
  <c r="E114" i="3"/>
  <c r="E115" i="3"/>
  <c r="H476" i="1"/>
  <c r="F43" i="3"/>
  <c r="F33" i="3"/>
  <c r="G456" i="1"/>
  <c r="D457" i="1"/>
  <c r="G457" i="1"/>
  <c r="D458" i="1"/>
  <c r="G458" i="1"/>
  <c r="D459" i="1"/>
  <c r="G459" i="1"/>
  <c r="G460" i="1"/>
  <c r="G461" i="1"/>
  <c r="D463" i="1"/>
  <c r="G463" i="1"/>
  <c r="D464" i="1"/>
  <c r="G464" i="1"/>
  <c r="G462" i="1"/>
  <c r="H465" i="1"/>
  <c r="E101" i="3"/>
  <c r="I10" i="16"/>
  <c r="E76" i="3"/>
  <c r="J34" i="5"/>
  <c r="A6" i="20"/>
  <c r="C4" i="1"/>
  <c r="A5" i="20"/>
  <c r="C3" i="1"/>
  <c r="A4" i="20"/>
  <c r="C2" i="1"/>
  <c r="A3" i="20"/>
  <c r="G366" i="1"/>
  <c r="G367" i="1"/>
  <c r="G348" i="1"/>
  <c r="G349" i="1"/>
  <c r="G350" i="1"/>
  <c r="G368" i="1"/>
  <c r="G381" i="1"/>
  <c r="G392" i="1"/>
  <c r="G393" i="1"/>
  <c r="H405" i="1"/>
  <c r="I405" i="1"/>
  <c r="G36" i="1"/>
  <c r="G31" i="1"/>
  <c r="L15" i="5"/>
  <c r="J15" i="5"/>
  <c r="C51" i="5"/>
  <c r="E51" i="5"/>
  <c r="E52" i="3"/>
  <c r="G10" i="1"/>
  <c r="G11" i="1"/>
  <c r="G12" i="1"/>
  <c r="G13" i="1"/>
  <c r="H15" i="1"/>
  <c r="C10" i="5"/>
  <c r="E10" i="5"/>
  <c r="E10" i="3"/>
  <c r="G18" i="1"/>
  <c r="G19" i="1"/>
  <c r="G21" i="1"/>
  <c r="G22" i="1"/>
  <c r="G23" i="1"/>
  <c r="G24" i="1"/>
  <c r="H25" i="1"/>
  <c r="C11" i="5"/>
  <c r="E11" i="5"/>
  <c r="E11" i="3"/>
  <c r="G28" i="1"/>
  <c r="G30" i="1"/>
  <c r="G33" i="1"/>
  <c r="H38" i="1"/>
  <c r="C14" i="5"/>
  <c r="C12" i="5"/>
  <c r="E12" i="5"/>
  <c r="E12" i="3"/>
  <c r="H49" i="1"/>
  <c r="C13" i="5"/>
  <c r="E13" i="5"/>
  <c r="E13" i="3"/>
  <c r="E14" i="5"/>
  <c r="E14" i="3"/>
  <c r="G53" i="1"/>
  <c r="G54" i="1"/>
  <c r="G55" i="1"/>
  <c r="G56" i="1"/>
  <c r="G57" i="1"/>
  <c r="D58" i="1"/>
  <c r="G58" i="1"/>
  <c r="G59" i="1"/>
  <c r="G60" i="1"/>
  <c r="H62" i="1"/>
  <c r="C15" i="5"/>
  <c r="E15" i="5"/>
  <c r="E15" i="3"/>
  <c r="C16" i="5"/>
  <c r="E16" i="5"/>
  <c r="E16" i="3"/>
  <c r="G70" i="1"/>
  <c r="G71" i="1"/>
  <c r="G72" i="1"/>
  <c r="G73" i="1"/>
  <c r="G74" i="1"/>
  <c r="G75" i="1"/>
  <c r="H76" i="1"/>
  <c r="C17" i="5"/>
  <c r="E17" i="5"/>
  <c r="E17" i="3"/>
  <c r="G80" i="1"/>
  <c r="H81" i="1"/>
  <c r="C18" i="5"/>
  <c r="E18" i="5"/>
  <c r="E18" i="3"/>
  <c r="G89" i="1"/>
  <c r="G90" i="1"/>
  <c r="G91" i="1"/>
  <c r="G92" i="1"/>
  <c r="G93" i="1"/>
  <c r="G94" i="1"/>
  <c r="I94" i="1"/>
  <c r="E20" i="3"/>
  <c r="D84" i="1"/>
  <c r="G84" i="1"/>
  <c r="G85" i="1"/>
  <c r="G86" i="1"/>
  <c r="G87" i="1"/>
  <c r="H95" i="1"/>
  <c r="C19" i="5"/>
  <c r="E19" i="5"/>
  <c r="E19" i="3"/>
  <c r="D98" i="1"/>
  <c r="G98" i="1"/>
  <c r="G99" i="1"/>
  <c r="G100" i="1"/>
  <c r="G101" i="1"/>
  <c r="G102" i="1"/>
  <c r="G103" i="1"/>
  <c r="G104" i="1"/>
  <c r="H105" i="1"/>
  <c r="C20" i="5"/>
  <c r="E20" i="5"/>
  <c r="E21" i="3"/>
  <c r="G108" i="1"/>
  <c r="G109" i="1"/>
  <c r="G110" i="1"/>
  <c r="G111" i="1"/>
  <c r="G112" i="1"/>
  <c r="H113" i="1"/>
  <c r="C21" i="5"/>
  <c r="E21" i="5"/>
  <c r="E22" i="3"/>
  <c r="G117" i="1"/>
  <c r="G116" i="1"/>
  <c r="G118" i="1"/>
  <c r="G119" i="1"/>
  <c r="G120" i="1"/>
  <c r="G121" i="1"/>
  <c r="G122" i="1"/>
  <c r="H123" i="1"/>
  <c r="C22" i="5"/>
  <c r="E22" i="5"/>
  <c r="E23" i="3"/>
  <c r="G126" i="1"/>
  <c r="G127" i="1"/>
  <c r="H128" i="1"/>
  <c r="C23" i="5"/>
  <c r="E23" i="5"/>
  <c r="E24" i="3"/>
  <c r="G133" i="1"/>
  <c r="G141" i="1"/>
  <c r="G142" i="1"/>
  <c r="G144" i="1"/>
  <c r="G145" i="1"/>
  <c r="H146" i="1"/>
  <c r="C24" i="5"/>
  <c r="E24" i="5"/>
  <c r="E25" i="3"/>
  <c r="G149" i="1"/>
  <c r="D151" i="1"/>
  <c r="D150" i="1"/>
  <c r="G150" i="1"/>
  <c r="G151" i="1"/>
  <c r="G152" i="1"/>
  <c r="G467" i="1"/>
  <c r="G468" i="1"/>
  <c r="G155" i="1"/>
  <c r="G156" i="1"/>
  <c r="G157" i="1"/>
  <c r="H158" i="1"/>
  <c r="E26" i="5"/>
  <c r="E25" i="5"/>
  <c r="E26" i="3"/>
  <c r="E27" i="3"/>
  <c r="G161" i="1"/>
  <c r="G162" i="1"/>
  <c r="G163" i="1"/>
  <c r="G474" i="1"/>
  <c r="G475" i="1"/>
  <c r="H165" i="1"/>
  <c r="C27" i="5"/>
  <c r="E27" i="5"/>
  <c r="E28" i="3"/>
  <c r="C28" i="5"/>
  <c r="E28" i="5"/>
  <c r="E29" i="3"/>
  <c r="E29" i="5"/>
  <c r="E30" i="3"/>
  <c r="G183" i="1"/>
  <c r="H184" i="1"/>
  <c r="C30" i="5"/>
  <c r="E30" i="5"/>
  <c r="E31" i="3"/>
  <c r="G187" i="1"/>
  <c r="G188" i="1"/>
  <c r="H189" i="1"/>
  <c r="C31" i="5"/>
  <c r="E31" i="5"/>
  <c r="E32" i="3"/>
  <c r="C32" i="5"/>
  <c r="E32" i="5"/>
  <c r="E33" i="3"/>
  <c r="C33" i="5"/>
  <c r="E33" i="5"/>
  <c r="E34" i="3"/>
  <c r="D202" i="1"/>
  <c r="G202" i="1"/>
  <c r="D203" i="1"/>
  <c r="G203" i="1"/>
  <c r="D204" i="1"/>
  <c r="G204" i="1"/>
  <c r="G205" i="1"/>
  <c r="G206" i="1"/>
  <c r="G207" i="1"/>
  <c r="D208" i="1"/>
  <c r="G208" i="1"/>
  <c r="G209" i="1"/>
  <c r="G210" i="1"/>
  <c r="G211" i="1"/>
  <c r="H212" i="1"/>
  <c r="C35" i="5"/>
  <c r="E35" i="5"/>
  <c r="E35" i="3"/>
  <c r="D216" i="1"/>
  <c r="G216" i="1"/>
  <c r="D217" i="1"/>
  <c r="G217" i="1"/>
  <c r="G218" i="1"/>
  <c r="G219" i="1"/>
  <c r="G220" i="1"/>
  <c r="G221" i="1"/>
  <c r="G222" i="1"/>
  <c r="G223" i="1"/>
  <c r="D224" i="1"/>
  <c r="G224" i="1"/>
  <c r="D225" i="1"/>
  <c r="G225" i="1"/>
  <c r="G226" i="1"/>
  <c r="G227" i="1"/>
  <c r="H228" i="1"/>
  <c r="C36" i="5"/>
  <c r="E36" i="5"/>
  <c r="E36" i="3"/>
  <c r="G231" i="1"/>
  <c r="G232" i="1"/>
  <c r="H233" i="1"/>
  <c r="C37" i="5"/>
  <c r="E37" i="5"/>
  <c r="E37" i="3"/>
  <c r="G236" i="1"/>
  <c r="G237" i="1"/>
  <c r="G238" i="1"/>
  <c r="G239" i="1"/>
  <c r="H240" i="1"/>
  <c r="C38" i="5"/>
  <c r="E38" i="5"/>
  <c r="E38" i="3"/>
  <c r="G245" i="1"/>
  <c r="D244" i="1"/>
  <c r="G244" i="1"/>
  <c r="G243" i="1"/>
  <c r="H246" i="1"/>
  <c r="C39" i="5"/>
  <c r="E39" i="5"/>
  <c r="E39" i="3"/>
  <c r="G249" i="1"/>
  <c r="G250" i="1"/>
  <c r="G251" i="1"/>
  <c r="G252" i="1"/>
  <c r="H253" i="1"/>
  <c r="C40" i="5"/>
  <c r="E40" i="5"/>
  <c r="E40" i="3"/>
  <c r="C42" i="5"/>
  <c r="E42" i="5"/>
  <c r="G470" i="1"/>
  <c r="C43" i="5"/>
  <c r="E43" i="5"/>
  <c r="E44" i="5"/>
  <c r="E44" i="3"/>
  <c r="G268" i="1"/>
  <c r="G269" i="1"/>
  <c r="H270" i="1"/>
  <c r="C46" i="5"/>
  <c r="E46" i="5"/>
  <c r="E47" i="3"/>
  <c r="G333" i="1"/>
  <c r="H344" i="1"/>
  <c r="C50" i="5"/>
  <c r="E50" i="5"/>
  <c r="E48" i="3"/>
  <c r="G273" i="1"/>
  <c r="G274" i="1"/>
  <c r="G275" i="1"/>
  <c r="G276" i="1"/>
  <c r="G317" i="1"/>
  <c r="H318" i="1"/>
  <c r="C47" i="5"/>
  <c r="E47" i="5"/>
  <c r="E49" i="3"/>
  <c r="C48" i="5"/>
  <c r="E48" i="5"/>
  <c r="E50" i="3"/>
  <c r="G324" i="1"/>
  <c r="G325" i="1"/>
  <c r="G326" i="1"/>
  <c r="G327" i="1"/>
  <c r="G328" i="1"/>
  <c r="G329" i="1"/>
  <c r="H330" i="1"/>
  <c r="C49" i="5"/>
  <c r="E49" i="5"/>
  <c r="E51" i="3"/>
  <c r="E53" i="3"/>
  <c r="C56" i="5"/>
  <c r="E56" i="5"/>
  <c r="E55" i="3"/>
  <c r="C58" i="5"/>
  <c r="E58" i="5"/>
  <c r="E56" i="3"/>
  <c r="C59" i="5"/>
  <c r="E59" i="5"/>
  <c r="E57" i="3"/>
  <c r="E58" i="3"/>
  <c r="E59" i="3"/>
  <c r="E60" i="3"/>
  <c r="E61" i="3"/>
  <c r="F61" i="3"/>
  <c r="F60" i="3"/>
  <c r="F58" i="3"/>
  <c r="F57" i="3"/>
  <c r="F47" i="3"/>
  <c r="F42" i="3"/>
  <c r="F40" i="3"/>
  <c r="F39" i="3"/>
  <c r="I199" i="1"/>
  <c r="I212" i="1"/>
  <c r="I228" i="1"/>
  <c r="I233" i="1"/>
  <c r="I240" i="1"/>
  <c r="I246" i="1"/>
  <c r="I253" i="1"/>
  <c r="I259" i="1"/>
  <c r="I270" i="1"/>
  <c r="I318" i="1"/>
  <c r="I330" i="1"/>
  <c r="I344" i="1"/>
  <c r="F53" i="3"/>
  <c r="F52" i="3"/>
  <c r="F51" i="3"/>
  <c r="F49" i="3"/>
  <c r="F48" i="3"/>
  <c r="F46" i="3"/>
  <c r="F38" i="3"/>
  <c r="F37" i="3"/>
  <c r="F36" i="3"/>
  <c r="F35" i="3"/>
  <c r="F32" i="3"/>
  <c r="F31" i="3"/>
  <c r="F28" i="3"/>
  <c r="F27" i="3"/>
  <c r="F26" i="3"/>
  <c r="F25" i="3"/>
  <c r="F24" i="3"/>
  <c r="F23" i="3"/>
  <c r="F22" i="3"/>
  <c r="F21" i="3"/>
  <c r="F20" i="3"/>
  <c r="F19" i="3"/>
  <c r="F18" i="3"/>
  <c r="F17" i="3"/>
  <c r="F15" i="3"/>
  <c r="F14" i="3"/>
  <c r="F13" i="3"/>
  <c r="F12" i="3"/>
  <c r="F11" i="3"/>
  <c r="F10" i="3"/>
  <c r="B91" i="3"/>
  <c r="G428" i="1"/>
  <c r="D444" i="1"/>
  <c r="D445" i="1"/>
  <c r="D446" i="1"/>
  <c r="D447" i="1"/>
  <c r="D448" i="1"/>
  <c r="D436" i="1"/>
  <c r="D437" i="1"/>
  <c r="D438" i="1"/>
  <c r="D439" i="1"/>
  <c r="D440" i="1"/>
  <c r="G429" i="1"/>
  <c r="G430" i="1"/>
  <c r="G431" i="1"/>
  <c r="G432" i="1"/>
  <c r="E102" i="3"/>
  <c r="E103" i="3"/>
  <c r="E104" i="3"/>
  <c r="E105" i="3"/>
  <c r="B43" i="5"/>
  <c r="B43" i="3"/>
  <c r="A43" i="5"/>
  <c r="A43" i="3"/>
  <c r="E84" i="3"/>
  <c r="I61" i="3"/>
  <c r="I62" i="3"/>
  <c r="I179" i="1"/>
  <c r="E85" i="3"/>
  <c r="E86" i="3"/>
  <c r="E87" i="3"/>
  <c r="E88" i="3"/>
  <c r="E77" i="3"/>
  <c r="E78" i="3"/>
  <c r="E79" i="3"/>
  <c r="E80" i="3"/>
  <c r="C26" i="5"/>
  <c r="C25" i="5"/>
  <c r="G416" i="1"/>
  <c r="E68" i="3"/>
  <c r="E69" i="3"/>
  <c r="E70" i="3"/>
  <c r="E71" i="3"/>
  <c r="E72" i="3"/>
  <c r="C41" i="5"/>
  <c r="E41" i="5"/>
  <c r="C57" i="5"/>
  <c r="E57" i="5"/>
  <c r="E61" i="5"/>
  <c r="H416" i="1"/>
  <c r="D61" i="5"/>
  <c r="G61" i="5"/>
  <c r="I37" i="5"/>
  <c r="I58" i="3"/>
  <c r="B53" i="3"/>
  <c r="A53" i="3"/>
  <c r="A30" i="3"/>
  <c r="B39" i="3"/>
  <c r="B38" i="3"/>
  <c r="B27" i="3"/>
  <c r="A27" i="3"/>
  <c r="B26" i="3"/>
  <c r="A25" i="5"/>
  <c r="A26" i="3"/>
  <c r="B23" i="3"/>
  <c r="A23" i="3"/>
  <c r="B14" i="3"/>
  <c r="E62" i="5"/>
  <c r="I62" i="5"/>
  <c r="H62" i="5"/>
  <c r="J62" i="5"/>
  <c r="K12" i="5"/>
  <c r="E63" i="5"/>
  <c r="E64" i="5"/>
  <c r="E65" i="5"/>
  <c r="I34" i="5"/>
  <c r="I33" i="5"/>
  <c r="M51" i="5"/>
  <c r="G46" i="5"/>
  <c r="B20" i="3"/>
  <c r="E14" i="10"/>
  <c r="B45" i="5"/>
  <c r="A45" i="5"/>
  <c r="B11" i="3"/>
  <c r="A11" i="3"/>
  <c r="B13" i="3"/>
  <c r="A13" i="3"/>
  <c r="B50" i="3"/>
  <c r="A50" i="3"/>
  <c r="B33" i="5"/>
  <c r="B34" i="3"/>
  <c r="B28" i="11"/>
  <c r="B30" i="5"/>
  <c r="B31" i="3"/>
  <c r="B24" i="11"/>
  <c r="B10" i="3"/>
  <c r="A10" i="3"/>
  <c r="C111" i="5"/>
  <c r="E114" i="5"/>
  <c r="C113" i="5"/>
  <c r="E111" i="5"/>
  <c r="E112" i="5"/>
  <c r="C99" i="5"/>
  <c r="C103" i="5"/>
  <c r="C101" i="5"/>
  <c r="E99" i="5"/>
  <c r="E100" i="5"/>
  <c r="C75" i="5"/>
  <c r="E78" i="5"/>
  <c r="C77" i="5"/>
  <c r="E75" i="5"/>
  <c r="E76" i="5"/>
  <c r="C87" i="5"/>
  <c r="C89" i="5"/>
  <c r="E87" i="5"/>
  <c r="E88" i="5"/>
  <c r="G110" i="5"/>
  <c r="F110" i="5"/>
  <c r="G109" i="5"/>
  <c r="F109" i="5"/>
  <c r="G108" i="5"/>
  <c r="F108" i="5"/>
  <c r="G107" i="5"/>
  <c r="F107" i="5"/>
  <c r="G98" i="5"/>
  <c r="F98" i="5"/>
  <c r="G97" i="5"/>
  <c r="F97" i="5"/>
  <c r="G96" i="5"/>
  <c r="F96" i="5"/>
  <c r="G95" i="5"/>
  <c r="F95" i="5"/>
  <c r="G86" i="5"/>
  <c r="F86" i="5"/>
  <c r="G85" i="5"/>
  <c r="F85" i="5"/>
  <c r="G84" i="5"/>
  <c r="F84" i="5"/>
  <c r="G83" i="5"/>
  <c r="F83" i="5"/>
  <c r="G74" i="5"/>
  <c r="F74" i="5"/>
  <c r="F73" i="5"/>
  <c r="F72" i="5"/>
  <c r="G71" i="5"/>
  <c r="F71" i="5"/>
  <c r="C114" i="5"/>
  <c r="C102" i="5"/>
  <c r="C90" i="5"/>
  <c r="C78" i="5"/>
  <c r="B105" i="5"/>
  <c r="G112" i="5"/>
  <c r="G113" i="5"/>
  <c r="G114" i="5"/>
  <c r="G115" i="5"/>
  <c r="B93" i="5"/>
  <c r="G100" i="5"/>
  <c r="G101" i="5"/>
  <c r="G102" i="5"/>
  <c r="G103" i="5"/>
  <c r="G10" i="5"/>
  <c r="F10" i="5"/>
  <c r="G15" i="5"/>
  <c r="F15" i="5"/>
  <c r="G12" i="5"/>
  <c r="F12" i="5"/>
  <c r="G16" i="5"/>
  <c r="F16" i="5"/>
  <c r="G18" i="5"/>
  <c r="F18" i="5"/>
  <c r="G19" i="5"/>
  <c r="F19" i="5"/>
  <c r="G20" i="5"/>
  <c r="F20" i="5"/>
  <c r="G21" i="5"/>
  <c r="F21" i="5"/>
  <c r="G23" i="5"/>
  <c r="F23" i="5"/>
  <c r="G24" i="5"/>
  <c r="F24" i="5"/>
  <c r="G27" i="5"/>
  <c r="F27" i="5"/>
  <c r="G28" i="5"/>
  <c r="F28" i="5"/>
  <c r="G30" i="5"/>
  <c r="F30" i="5"/>
  <c r="G31" i="5"/>
  <c r="F31" i="5"/>
  <c r="G32" i="5"/>
  <c r="F32" i="5"/>
  <c r="G33" i="5"/>
  <c r="F33" i="5"/>
  <c r="G35" i="5"/>
  <c r="F35" i="5"/>
  <c r="G36" i="5"/>
  <c r="F36" i="5"/>
  <c r="G37" i="5"/>
  <c r="F37" i="5"/>
  <c r="G40" i="5"/>
  <c r="F40" i="5"/>
  <c r="G41" i="5"/>
  <c r="F41" i="5"/>
  <c r="G42" i="5"/>
  <c r="F42" i="5"/>
  <c r="G44" i="5"/>
  <c r="F44" i="5"/>
  <c r="F46" i="5"/>
  <c r="G47" i="5"/>
  <c r="F47" i="5"/>
  <c r="F48" i="5"/>
  <c r="G49" i="5"/>
  <c r="F49" i="5"/>
  <c r="G50" i="5"/>
  <c r="F50" i="5"/>
  <c r="G51" i="5"/>
  <c r="F51" i="5"/>
  <c r="G56" i="5"/>
  <c r="F56" i="5"/>
  <c r="G57" i="5"/>
  <c r="F57" i="5"/>
  <c r="G58" i="5"/>
  <c r="F58" i="5"/>
  <c r="G59" i="5"/>
  <c r="F59" i="5"/>
  <c r="F61" i="5"/>
  <c r="F62" i="5"/>
  <c r="F63" i="5"/>
  <c r="F64" i="5"/>
  <c r="F65" i="5"/>
  <c r="E4" i="5"/>
  <c r="B22" i="16"/>
  <c r="A7" i="13"/>
  <c r="A6" i="13"/>
  <c r="G64" i="5"/>
  <c r="G63" i="5"/>
  <c r="G62" i="5"/>
  <c r="B15" i="16"/>
  <c r="B14" i="16"/>
  <c r="B13" i="16"/>
  <c r="B12" i="16"/>
  <c r="C19" i="16"/>
  <c r="C18" i="16"/>
  <c r="C17" i="16"/>
  <c r="B65" i="11"/>
  <c r="A65" i="11"/>
  <c r="B64" i="11"/>
  <c r="A64" i="11"/>
  <c r="B63" i="11"/>
  <c r="A63" i="11"/>
  <c r="B62" i="11"/>
  <c r="A62" i="11"/>
  <c r="B56" i="3"/>
  <c r="B61" i="11"/>
  <c r="A56" i="3"/>
  <c r="A61" i="11"/>
  <c r="B60" i="11"/>
  <c r="A60" i="11"/>
  <c r="B55" i="3"/>
  <c r="B59" i="11"/>
  <c r="A55" i="3"/>
  <c r="A59" i="11"/>
  <c r="B52" i="3"/>
  <c r="B58" i="11"/>
  <c r="A52" i="3"/>
  <c r="A58" i="11"/>
  <c r="B54" i="3"/>
  <c r="B57" i="11"/>
  <c r="A54" i="3"/>
  <c r="A57" i="11"/>
  <c r="B51" i="3"/>
  <c r="B56" i="11"/>
  <c r="A51" i="3"/>
  <c r="A56" i="11"/>
  <c r="B49" i="3"/>
  <c r="B55" i="11"/>
  <c r="A49" i="3"/>
  <c r="A55" i="11"/>
  <c r="B54" i="11"/>
  <c r="A54" i="11"/>
  <c r="B48" i="3"/>
  <c r="B53" i="11"/>
  <c r="A48" i="3"/>
  <c r="A53" i="11"/>
  <c r="B52" i="11"/>
  <c r="A52" i="11"/>
  <c r="B47" i="3"/>
  <c r="B51" i="11"/>
  <c r="A47" i="3"/>
  <c r="A51" i="11"/>
  <c r="B44" i="3"/>
  <c r="B50" i="11"/>
  <c r="A44" i="3"/>
  <c r="A50" i="11"/>
  <c r="B42" i="3"/>
  <c r="B49" i="11"/>
  <c r="A42" i="3"/>
  <c r="A49" i="11"/>
  <c r="B48" i="11"/>
  <c r="A48" i="11"/>
  <c r="B47" i="11"/>
  <c r="A47" i="11"/>
  <c r="B46" i="11"/>
  <c r="A46" i="11"/>
  <c r="B45" i="11"/>
  <c r="A45" i="11"/>
  <c r="B44" i="11"/>
  <c r="A44" i="11"/>
  <c r="B43" i="11"/>
  <c r="A43" i="11"/>
  <c r="B41" i="3"/>
  <c r="B42" i="11"/>
  <c r="A41" i="3"/>
  <c r="A42" i="11"/>
  <c r="B41" i="11"/>
  <c r="A41" i="11"/>
  <c r="B40" i="11"/>
  <c r="A40" i="11"/>
  <c r="B39" i="11"/>
  <c r="A39" i="11"/>
  <c r="B38" i="11"/>
  <c r="A38" i="11"/>
  <c r="B40" i="3"/>
  <c r="B37" i="11"/>
  <c r="A40" i="3"/>
  <c r="A37" i="11"/>
  <c r="B36" i="11"/>
  <c r="A36" i="11"/>
  <c r="B35" i="11"/>
  <c r="A35" i="11"/>
  <c r="B34" i="11"/>
  <c r="A34" i="11"/>
  <c r="B37" i="3"/>
  <c r="B33" i="11"/>
  <c r="A37" i="3"/>
  <c r="A33" i="11"/>
  <c r="B32" i="11"/>
  <c r="A32" i="11"/>
  <c r="B31" i="11"/>
  <c r="A36" i="3"/>
  <c r="A31" i="11"/>
  <c r="B30" i="11"/>
  <c r="A30" i="11"/>
  <c r="B35" i="3"/>
  <c r="B29" i="11"/>
  <c r="A35" i="3"/>
  <c r="A29" i="11"/>
  <c r="A34" i="3"/>
  <c r="A28" i="11"/>
  <c r="B33" i="3"/>
  <c r="B27" i="11"/>
  <c r="A33" i="3"/>
  <c r="A27" i="11"/>
  <c r="B32" i="3"/>
  <c r="B26" i="11"/>
  <c r="A32" i="3"/>
  <c r="A26" i="11"/>
  <c r="B25" i="11"/>
  <c r="A25" i="11"/>
  <c r="A31" i="3"/>
  <c r="A24" i="11"/>
  <c r="B23" i="11"/>
  <c r="A23" i="11"/>
  <c r="B29" i="3"/>
  <c r="B22" i="11"/>
  <c r="A29" i="3"/>
  <c r="A22" i="11"/>
  <c r="B28" i="3"/>
  <c r="B21" i="11"/>
  <c r="A28" i="3"/>
  <c r="A21" i="11"/>
  <c r="B20" i="11"/>
  <c r="A20" i="11"/>
  <c r="B25" i="3"/>
  <c r="B19" i="11"/>
  <c r="A25" i="3"/>
  <c r="A19" i="11"/>
  <c r="B18" i="11"/>
  <c r="A18" i="11"/>
  <c r="B17" i="11"/>
  <c r="A17" i="11"/>
  <c r="B24" i="3"/>
  <c r="B16" i="11"/>
  <c r="A24" i="3"/>
  <c r="A16" i="11"/>
  <c r="B22" i="3"/>
  <c r="B15" i="11"/>
  <c r="A22" i="3"/>
  <c r="A15" i="11"/>
  <c r="B21" i="3"/>
  <c r="B14" i="11"/>
  <c r="A21" i="3"/>
  <c r="A14" i="11"/>
  <c r="B19" i="3"/>
  <c r="B13" i="11"/>
  <c r="A19" i="3"/>
  <c r="A13" i="11"/>
  <c r="B18" i="3"/>
  <c r="B12" i="11"/>
  <c r="A18" i="3"/>
  <c r="A12" i="11"/>
  <c r="B16" i="3"/>
  <c r="B11" i="11"/>
  <c r="A16" i="3"/>
  <c r="A11" i="11"/>
  <c r="B12" i="3"/>
  <c r="B10" i="11"/>
  <c r="A12" i="3"/>
  <c r="A10" i="11"/>
  <c r="B15" i="3"/>
  <c r="B9" i="11"/>
  <c r="A15" i="3"/>
  <c r="A9" i="11"/>
  <c r="C4" i="10"/>
  <c r="A6" i="15"/>
  <c r="A5" i="15"/>
  <c r="I74" i="11"/>
  <c r="I75" i="11"/>
  <c r="I76" i="11"/>
  <c r="I82" i="11"/>
  <c r="D77" i="11"/>
  <c r="B3" i="11"/>
  <c r="B2" i="11"/>
  <c r="A6" i="4"/>
  <c r="F2" i="11"/>
  <c r="C10" i="11"/>
  <c r="G10" i="11"/>
  <c r="C11" i="11"/>
  <c r="G11" i="11"/>
  <c r="C12" i="11"/>
  <c r="G12" i="11"/>
  <c r="I12" i="11"/>
  <c r="C13" i="11"/>
  <c r="G13" i="11"/>
  <c r="C14" i="11"/>
  <c r="G14" i="11"/>
  <c r="C15" i="11"/>
  <c r="G15" i="11"/>
  <c r="C16" i="11"/>
  <c r="C17" i="11"/>
  <c r="G17" i="11"/>
  <c r="I17" i="11"/>
  <c r="C18" i="11"/>
  <c r="C19" i="11"/>
  <c r="G19" i="11"/>
  <c r="C20" i="11"/>
  <c r="C21" i="11"/>
  <c r="G21" i="11"/>
  <c r="C22" i="11"/>
  <c r="G22" i="11"/>
  <c r="C23" i="11"/>
  <c r="G23" i="11"/>
  <c r="C24" i="11"/>
  <c r="G24" i="11"/>
  <c r="I24" i="11"/>
  <c r="C25" i="11"/>
  <c r="C26" i="11"/>
  <c r="G26" i="11"/>
  <c r="C27" i="11"/>
  <c r="G27" i="11"/>
  <c r="I27" i="11"/>
  <c r="C28" i="11"/>
  <c r="G28" i="11"/>
  <c r="C29" i="11"/>
  <c r="G29" i="11"/>
  <c r="C30" i="11"/>
  <c r="G30" i="11"/>
  <c r="I30" i="11"/>
  <c r="C31" i="11"/>
  <c r="G31" i="11"/>
  <c r="C32" i="11"/>
  <c r="C33" i="11"/>
  <c r="G33" i="11"/>
  <c r="C34" i="11"/>
  <c r="C35" i="11"/>
  <c r="G35" i="11"/>
  <c r="I35" i="11"/>
  <c r="C36" i="11"/>
  <c r="G36" i="11"/>
  <c r="I36" i="11"/>
  <c r="C37" i="11"/>
  <c r="G37" i="11"/>
  <c r="C38" i="11"/>
  <c r="G38" i="11"/>
  <c r="C39" i="11"/>
  <c r="G39" i="11"/>
  <c r="I39" i="11"/>
  <c r="C40" i="11"/>
  <c r="G40" i="11"/>
  <c r="C41" i="11"/>
  <c r="G41" i="11"/>
  <c r="C42" i="11"/>
  <c r="G42" i="11"/>
  <c r="I42" i="11"/>
  <c r="C43" i="11"/>
  <c r="G43" i="11"/>
  <c r="C44" i="11"/>
  <c r="G44" i="11"/>
  <c r="C45" i="11"/>
  <c r="G45" i="11"/>
  <c r="C46" i="11"/>
  <c r="G46" i="11"/>
  <c r="C47" i="11"/>
  <c r="G47" i="11"/>
  <c r="C48" i="11"/>
  <c r="C49" i="11"/>
  <c r="G49" i="11"/>
  <c r="C50" i="11"/>
  <c r="G50" i="11"/>
  <c r="C51" i="11"/>
  <c r="G51" i="11"/>
  <c r="C52" i="11"/>
  <c r="G52" i="11"/>
  <c r="I52" i="11"/>
  <c r="C53" i="11"/>
  <c r="G53" i="11"/>
  <c r="C54" i="11"/>
  <c r="G54" i="11"/>
  <c r="C55" i="11"/>
  <c r="G55" i="11"/>
  <c r="C56" i="11"/>
  <c r="G56" i="11"/>
  <c r="I56" i="11"/>
  <c r="C57" i="11"/>
  <c r="G57" i="11"/>
  <c r="C58" i="11"/>
  <c r="C59" i="11"/>
  <c r="G59" i="11"/>
  <c r="C60" i="11"/>
  <c r="G60" i="11"/>
  <c r="C61" i="11"/>
  <c r="G61" i="11"/>
  <c r="I61" i="11"/>
  <c r="C62" i="11"/>
  <c r="G62" i="11"/>
  <c r="C63" i="11"/>
  <c r="G63" i="11"/>
  <c r="C64" i="11"/>
  <c r="G64" i="11"/>
  <c r="C65" i="11"/>
  <c r="G65" i="11"/>
  <c r="C66" i="11"/>
  <c r="G66" i="11"/>
  <c r="I66" i="11"/>
  <c r="C67" i="11"/>
  <c r="G67" i="11"/>
  <c r="C68" i="11"/>
  <c r="G68" i="11"/>
  <c r="C69" i="11"/>
  <c r="G69" i="11"/>
  <c r="C70" i="11"/>
  <c r="G70" i="11"/>
  <c r="I70" i="11"/>
  <c r="C71" i="11"/>
  <c r="G71" i="11"/>
  <c r="C72" i="11"/>
  <c r="G72" i="11"/>
  <c r="C73" i="11"/>
  <c r="G73" i="11"/>
  <c r="C9" i="11"/>
  <c r="B66" i="11"/>
  <c r="B67" i="11"/>
  <c r="B68" i="11"/>
  <c r="B69" i="11"/>
  <c r="B70" i="11"/>
  <c r="B71" i="11"/>
  <c r="B72" i="11"/>
  <c r="B73" i="11"/>
  <c r="G76" i="5"/>
  <c r="G77" i="5"/>
  <c r="G78" i="5"/>
  <c r="E7" i="5"/>
  <c r="A4" i="4"/>
  <c r="C2" i="2"/>
  <c r="F12" i="2"/>
  <c r="F21" i="2"/>
  <c r="G21" i="2"/>
  <c r="F19" i="2"/>
  <c r="G19" i="2"/>
  <c r="G20" i="2"/>
  <c r="G22" i="2"/>
  <c r="G24" i="2"/>
  <c r="G25" i="2"/>
  <c r="G26" i="2"/>
  <c r="G27" i="2"/>
  <c r="G28" i="2"/>
  <c r="G29" i="2"/>
  <c r="G31" i="2"/>
  <c r="G32" i="2"/>
  <c r="G34" i="2"/>
  <c r="G35" i="2"/>
  <c r="G36" i="2"/>
  <c r="G37" i="2"/>
  <c r="H37" i="2"/>
  <c r="G4" i="2"/>
  <c r="F13" i="2"/>
  <c r="F15" i="2"/>
  <c r="G15" i="2"/>
  <c r="J19" i="2"/>
  <c r="G5" i="2"/>
  <c r="B47" i="4"/>
  <c r="F12" i="10"/>
  <c r="E12" i="10"/>
  <c r="E26" i="10"/>
  <c r="B2" i="3"/>
  <c r="B3" i="3"/>
  <c r="G12" i="2"/>
  <c r="G7" i="5"/>
  <c r="G3" i="2"/>
  <c r="A5" i="4"/>
  <c r="B4" i="3"/>
  <c r="A7" i="4"/>
  <c r="H2" i="1"/>
  <c r="G2" i="2"/>
  <c r="E2" i="3"/>
  <c r="F16" i="2"/>
  <c r="G16" i="2"/>
  <c r="G13" i="2"/>
  <c r="G58" i="11"/>
  <c r="G18" i="11"/>
  <c r="G20" i="11"/>
  <c r="G48" i="11"/>
  <c r="I48" i="11"/>
  <c r="G16" i="11"/>
  <c r="I16" i="11"/>
  <c r="G88" i="5"/>
  <c r="C5" i="2"/>
  <c r="A7" i="5"/>
  <c r="G32" i="11"/>
  <c r="I32" i="11"/>
  <c r="G79" i="5"/>
  <c r="G89" i="5"/>
  <c r="I38" i="11"/>
  <c r="G90" i="5"/>
  <c r="G91" i="5"/>
  <c r="G25" i="11"/>
  <c r="I25" i="11"/>
  <c r="I46" i="11"/>
  <c r="I60" i="11"/>
  <c r="I55" i="11"/>
  <c r="I41" i="11"/>
  <c r="I18" i="11"/>
  <c r="I72" i="11"/>
  <c r="I69" i="11"/>
  <c r="I68" i="11"/>
  <c r="I64" i="11"/>
  <c r="I62" i="11"/>
  <c r="I44" i="11"/>
  <c r="I23" i="11"/>
  <c r="G34" i="11"/>
  <c r="I34" i="11"/>
  <c r="I20" i="11"/>
  <c r="I58" i="11"/>
  <c r="I54" i="11"/>
  <c r="I29" i="11"/>
  <c r="I28" i="11"/>
  <c r="G9" i="11"/>
  <c r="I9" i="11"/>
  <c r="I10" i="11"/>
  <c r="G77" i="11"/>
  <c r="I51" i="11"/>
  <c r="I50" i="11"/>
  <c r="I15" i="11"/>
  <c r="I14" i="11"/>
  <c r="I22" i="11"/>
  <c r="I11" i="11"/>
  <c r="I43" i="11"/>
  <c r="I63" i="11"/>
  <c r="I26" i="11"/>
  <c r="I73" i="11"/>
  <c r="I71" i="11"/>
  <c r="I67" i="11"/>
  <c r="I65" i="11"/>
  <c r="I59" i="11"/>
  <c r="I57" i="11"/>
  <c r="I53" i="11"/>
  <c r="I49" i="11"/>
  <c r="I47" i="11"/>
  <c r="I45" i="11"/>
  <c r="I40" i="11"/>
  <c r="I37" i="11"/>
  <c r="I33" i="11"/>
  <c r="I31" i="11"/>
  <c r="I21" i="11"/>
  <c r="I19" i="11"/>
  <c r="I13" i="11"/>
  <c r="C77" i="11"/>
  <c r="C3" i="2"/>
  <c r="A5" i="5"/>
  <c r="A6" i="5"/>
  <c r="A3" i="4"/>
  <c r="C4" i="2"/>
  <c r="C79" i="5"/>
  <c r="C88" i="5"/>
  <c r="C91" i="5"/>
  <c r="E89" i="5"/>
  <c r="E91" i="5"/>
  <c r="C100" i="5"/>
  <c r="E101" i="5"/>
  <c r="E103" i="5"/>
  <c r="A4" i="5"/>
  <c r="E90" i="5"/>
  <c r="C76" i="5"/>
  <c r="E77" i="5"/>
  <c r="E79" i="5"/>
  <c r="E102" i="5"/>
  <c r="C112" i="5"/>
  <c r="C115" i="5"/>
  <c r="E113" i="5"/>
  <c r="E115" i="5"/>
  <c r="C80" i="11"/>
  <c r="I80" i="11"/>
  <c r="C81" i="11"/>
  <c r="I81" i="11"/>
  <c r="C83" i="11"/>
  <c r="I83" i="11"/>
  <c r="I78" i="11"/>
  <c r="I77" i="11"/>
  <c r="C79" i="11"/>
  <c r="I79" i="11"/>
  <c r="C45" i="5"/>
  <c r="H417" i="1"/>
  <c r="H418" i="1"/>
  <c r="C61" i="5"/>
  <c r="H419" i="1"/>
  <c r="H420" i="1"/>
  <c r="H58" i="3"/>
  <c r="J58" i="3"/>
  <c r="C86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interval="60" name="Connection" type="1" refreshedVersion="2" savePassword="1" background="1" refreshOnLoad="1">
    <dbPr connection="DSN=MS Access Database;DBQ=S:\Construction\BidGenie\BidGenie_be.mdb;DefaultDir=S:\Construction\BidGenie;DriverId=25;FIL=MS Access;MaxBufferSize=2048;PageTimeout=5;" command="SELECT tbl_RFE.PropNum, tbl_RFE.`Project Name`, tbl_RFE.Address, tbl_RFE.Floor, tbl_RFE.JobNum, tbl_RFE.`From`, tbl_RFE.CreateDate, tbl_RFE.Estimator, tbl_RFE.DueDate, tbl_RFE.DueTime, tbl_RFE.RFE_Type, tbl_RFE.BaseJob_ConCond, tbl_RFE.BaseJob_Insurance, tbl_RFE.BaseJob_Fee, tbl_RFE.CO_ConCond, tbl_RFE.CO_Insurance, tbl_RFE.CO_Fee, tbl_RFE.Client, tbl_RFE.Representative, tbl_RFE.Architect, tbl_RFE.Engineer, tbl_RFE.PropNum, tbl_RFE.Executive, tbl_RFE.Manager, tbl_RFE.TypeRequest, tbl_RFE.UsableSQFootage, tbl_RFE.RegTableSQFootage, tbl_RFE.Remarks_x000d__x000a_FROM `S:\Construction\BidGenie\BidGenie_be`.tbl_RFE tbl_RFE_x000d__x000a_WHERE (tbl_RFE.PropNum=?)"/>
    <parameters count="1">
      <parameter name="Proposal Number" sqlType="4" parameterType="value" integer="3017"/>
    </parameters>
  </connection>
  <connection id="2" xr16:uid="{00000000-0015-0000-FFFF-FFFF01000000}" name="Connection1" type="1" refreshedVersion="2" savePassword="1" background="1" refreshOnLoad="1">
    <dbPr connection="DSN=MS Access Database;DBQ=S:\Construction\BidGenie\BidGenie_be.mdb;DefaultDir=S:\Construction\BidGenie;DriverId=25;FIL=MS Access;MaxBufferSize=2048;PageTimeout=5;" command="SELECT tbl_Contacts.Contact, tbl_Contacts.Type, tbl_Contacts.`Full Name`, tbl_Contacts.Address, tbl_Contacts.Address2, tbl_Contacts.City, tbl_Contacts.State, tbl_Contacts.Zip, tbl_Contacts.Phone, tbl_Contacts.Fax, tbl_Contacts.Email, tbl_Contacts.Representative, tbl_Contacts.Recipient, tbl_Contacts.Assistant, tbl_Contacts.Initials, tbl_Contacts.Notes, tbl_Contacts.Trade, tbl_Contacts.TLVendorID_x000d__x000a_FROM `S:\Construction\BidGenie\BidGenie_be`.tbl_Contacts tbl_Contacts"/>
  </connection>
</connections>
</file>

<file path=xl/sharedStrings.xml><?xml version="1.0" encoding="utf-8"?>
<sst xmlns="http://schemas.openxmlformats.org/spreadsheetml/2006/main" count="1240" uniqueCount="695">
  <si>
    <t>Excavation/Foundation</t>
  </si>
  <si>
    <t>Asbestos Removal</t>
  </si>
  <si>
    <t>Masonry Restoration</t>
  </si>
  <si>
    <t>Miscellaneous Iron</t>
  </si>
  <si>
    <t>Window Film</t>
  </si>
  <si>
    <t>DUE DATE:</t>
  </si>
  <si>
    <t xml:space="preserve">Appliances </t>
  </si>
  <si>
    <t>We reserve the right to request deposits on proposals for certain manufactured product items which are time sensitive to the schedule.</t>
  </si>
  <si>
    <t>REVIEWED</t>
  </si>
  <si>
    <t>PRICE</t>
  </si>
  <si>
    <t xml:space="preserve">Date : </t>
  </si>
  <si>
    <t xml:space="preserve">Revised Date : </t>
  </si>
  <si>
    <t xml:space="preserve">Estimator : </t>
  </si>
  <si>
    <t>Trade:</t>
  </si>
  <si>
    <t>Item Description:</t>
  </si>
  <si>
    <t>Qty</t>
  </si>
  <si>
    <t>Unt</t>
  </si>
  <si>
    <t>Cst/per</t>
  </si>
  <si>
    <t>Sub-Total</t>
  </si>
  <si>
    <t>Total</t>
  </si>
  <si>
    <t>-</t>
  </si>
  <si>
    <t>Manpower:</t>
  </si>
  <si>
    <t>Project Manager</t>
  </si>
  <si>
    <t>Dys</t>
  </si>
  <si>
    <t>Supervisor</t>
  </si>
  <si>
    <t>Laborer</t>
  </si>
  <si>
    <t>Overtime allowance (premium)</t>
  </si>
  <si>
    <t>Protection Items:</t>
  </si>
  <si>
    <t>Green dust</t>
  </si>
  <si>
    <t>Masonite</t>
  </si>
  <si>
    <t>Plastic</t>
  </si>
  <si>
    <t>Roll</t>
  </si>
  <si>
    <t>Paper</t>
  </si>
  <si>
    <t>Duct tape</t>
  </si>
  <si>
    <t>Masking tape</t>
  </si>
  <si>
    <t>Rubbish Removals:</t>
  </si>
  <si>
    <t>Mini containers</t>
  </si>
  <si>
    <t>Roll - off container - 40 yd..</t>
  </si>
  <si>
    <t>Misc. Items</t>
  </si>
  <si>
    <t>On - site telephone</t>
  </si>
  <si>
    <t>Blueprints</t>
  </si>
  <si>
    <t>Travel costs (allowance)</t>
  </si>
  <si>
    <t>LS</t>
  </si>
  <si>
    <t>Misc. allowances</t>
  </si>
  <si>
    <t>Demolition</t>
  </si>
  <si>
    <t>LF</t>
  </si>
  <si>
    <t>SF</t>
  </si>
  <si>
    <t>Drywall &amp; Carpentry</t>
  </si>
  <si>
    <t>SUBTOTAL</t>
  </si>
  <si>
    <t>QTY</t>
  </si>
  <si>
    <t>UNT</t>
  </si>
  <si>
    <t>COST/PER</t>
  </si>
  <si>
    <t>ITEM DESCRIPTION</t>
  </si>
  <si>
    <t>TRADE:</t>
  </si>
  <si>
    <t>Electric</t>
  </si>
  <si>
    <t>COMPETITION:</t>
  </si>
  <si>
    <t>Roofing/Waterproofing</t>
  </si>
  <si>
    <t>HVAC</t>
  </si>
  <si>
    <t>Plumbing</t>
  </si>
  <si>
    <t>Toilet Accessories</t>
  </si>
  <si>
    <t>DIVISION</t>
  </si>
  <si>
    <t>SUB-TOTAL</t>
  </si>
  <si>
    <t>General Conditions</t>
  </si>
  <si>
    <t>Days</t>
  </si>
  <si>
    <t>Labor</t>
  </si>
  <si>
    <t>Weeks</t>
  </si>
  <si>
    <t>PROPOSAL #:</t>
  </si>
  <si>
    <t>Fee</t>
  </si>
  <si>
    <t>TOTAL</t>
  </si>
  <si>
    <t>EA</t>
  </si>
  <si>
    <t>Proposal # :</t>
  </si>
  <si>
    <t xml:space="preserve"> </t>
  </si>
  <si>
    <t>Architectural Woodwork</t>
  </si>
  <si>
    <t>Architectural Metal &amp; Glass</t>
  </si>
  <si>
    <t>Sub-Total Construction Costs</t>
  </si>
  <si>
    <t>NOTES AND CLARIFICATIONS</t>
  </si>
  <si>
    <t>Phasing is not included.</t>
  </si>
  <si>
    <t>LOW</t>
  </si>
  <si>
    <t>ITEM</t>
  </si>
  <si>
    <t>DESCRIPTION</t>
  </si>
  <si>
    <t>BID</t>
  </si>
  <si>
    <t xml:space="preserve"> GENERAL CONDITIONS</t>
  </si>
  <si>
    <t>FEE</t>
  </si>
  <si>
    <t>Drawing Manifest</t>
  </si>
  <si>
    <t>00000</t>
  </si>
  <si>
    <t>Security Systems</t>
  </si>
  <si>
    <t>Communications Cabling</t>
  </si>
  <si>
    <t>Masonry</t>
  </si>
  <si>
    <r>
      <t>ITALICS</t>
    </r>
    <r>
      <rPr>
        <b/>
        <sz val="12"/>
        <rFont val="Times New Roman"/>
        <family val="1"/>
      </rPr>
      <t xml:space="preserve"> = BID NEEDS REVIEW</t>
    </r>
  </si>
  <si>
    <t>trade</t>
  </si>
  <si>
    <t>Master keying is excluded.</t>
  </si>
  <si>
    <t>Fire watch, temporary sprinkler loop, and/or daily activation of the system is not included.</t>
  </si>
  <si>
    <t>Overtime, except for demolition and building rules/regulations, is not included.</t>
  </si>
  <si>
    <t>All work and associated costs for Local #1 and #14, and hoisting is not included.</t>
  </si>
  <si>
    <t>System furniture, including delivery, handling, installation or clean-up are excluded.   Installation of electrical device are included.</t>
  </si>
  <si>
    <t>Furnishing, installing and setting of file cabinets, etc., are excluded.</t>
  </si>
  <si>
    <t xml:space="preserve">Removal of vinyl floor tile which may exist under carpeting is excluded. </t>
  </si>
  <si>
    <t>Work at existing induction units is not included, unless specifically shown on drawings.</t>
  </si>
  <si>
    <t>Class “E” tie-in is not included.</t>
  </si>
  <si>
    <t>Insurance</t>
  </si>
  <si>
    <t>Direct Project Costs - Over GC's</t>
  </si>
  <si>
    <t>Useable Square Footage</t>
  </si>
  <si>
    <t>Rentable Square Footage</t>
  </si>
  <si>
    <t>REQUEST FOR</t>
  </si>
  <si>
    <t>ESTIMATE</t>
  </si>
  <si>
    <t>ESTIMATOR</t>
  </si>
  <si>
    <t>PROJ. EXEC.</t>
  </si>
  <si>
    <t>PROJ. MGR.</t>
  </si>
  <si>
    <t>PROPOSAL NO.</t>
  </si>
  <si>
    <t>TO BE REVIEWED BY:</t>
  </si>
  <si>
    <t>CITY/STATE:</t>
  </si>
  <si>
    <t>FLOOR :</t>
  </si>
  <si>
    <t>ADDRESS :</t>
  </si>
  <si>
    <t xml:space="preserve">Project:    </t>
  </si>
  <si>
    <t>Project #:</t>
  </si>
  <si>
    <t xml:space="preserve">Location:  </t>
  </si>
  <si>
    <t>Total S.F.:</t>
  </si>
  <si>
    <t>Duration</t>
  </si>
  <si>
    <t>Cost S.F.:</t>
  </si>
  <si>
    <t>Completion Date:</t>
  </si>
  <si>
    <t>CSI</t>
  </si>
  <si>
    <t>BUY OUT</t>
  </si>
  <si>
    <t>Concrete</t>
  </si>
  <si>
    <t>Final payment shall not be withheld due to fire alarm inspections and signoff or due to BEC signoff which is beyond our control.</t>
  </si>
  <si>
    <t>Window Treatment</t>
  </si>
  <si>
    <t>TRADE COST</t>
  </si>
  <si>
    <t>GENERAL CONDITIONS</t>
  </si>
  <si>
    <t>INSURANCE</t>
  </si>
  <si>
    <t>AMOUNT OF CONTRACT</t>
  </si>
  <si>
    <t>ADDRESS:</t>
  </si>
  <si>
    <t>PHONE:</t>
  </si>
  <si>
    <t>ATTENTION:</t>
  </si>
  <si>
    <t>Address</t>
  </si>
  <si>
    <t>Phone</t>
  </si>
  <si>
    <t>Mark Up</t>
  </si>
  <si>
    <t>Contact</t>
  </si>
  <si>
    <t>Elevator Work</t>
  </si>
  <si>
    <t>NAME:</t>
  </si>
  <si>
    <t>Gen. Cond.</t>
  </si>
  <si>
    <t>TYPE OF ESTIMATE</t>
  </si>
  <si>
    <t>TRADE DESCRIPTION</t>
  </si>
  <si>
    <t>SUB #1</t>
  </si>
  <si>
    <t>SUB #2</t>
  </si>
  <si>
    <t>SUB #3</t>
  </si>
  <si>
    <t>SUB #4</t>
  </si>
  <si>
    <t>Sprinklers</t>
  </si>
  <si>
    <t>Wks</t>
  </si>
  <si>
    <t>Hr</t>
  </si>
  <si>
    <t>Ea</t>
  </si>
  <si>
    <t>After hour permits are excluded.</t>
  </si>
  <si>
    <t>Ceramic Tile/Stone</t>
  </si>
  <si>
    <t>Building utility, shutdown, tie-in, and/or elevator charges are to be paid by others.</t>
  </si>
  <si>
    <t>All Building Department fees and filing charges are by others.  Cost to pick-up permit is included.</t>
  </si>
  <si>
    <t>Telephone and data cabling is not included.</t>
  </si>
  <si>
    <t>Structural Steel</t>
  </si>
  <si>
    <t>SUB #5</t>
  </si>
  <si>
    <t>SUB #6</t>
  </si>
  <si>
    <t>Light Fixtures</t>
  </si>
  <si>
    <t>Wood Flooring</t>
  </si>
  <si>
    <t>JOB SCHEDULE</t>
  </si>
  <si>
    <t>BOOK</t>
  </si>
  <si>
    <t>BULDING RULES</t>
  </si>
  <si>
    <t>LANDLORD APPROVED SUBS</t>
  </si>
  <si>
    <t>SITE VISIT</t>
  </si>
  <si>
    <t>BID FORM</t>
  </si>
  <si>
    <t>Below are RFIs regarding the above named project.</t>
  </si>
  <si>
    <t>Please furnish/clarify the following at your earliest convenience:</t>
  </si>
  <si>
    <t>This proposal is based on O &amp; D  Builders receiving a Certificate of Capital Improvement (CCI) from the client.  No other taxes are included.</t>
  </si>
  <si>
    <t>Removal of asbestos, lead paint, PCB ballasts, and/or replacement of equivalent material including any associated air monitoring/hygienist costs is not included.</t>
  </si>
  <si>
    <t>SPECIFIC NOTES AND CLARIFICATIONS</t>
  </si>
  <si>
    <t>SUBCONTRACTOR / VENDOR</t>
  </si>
  <si>
    <t>CSI CODE</t>
  </si>
  <si>
    <t>PROPOSAL / BILLING AMOUNT</t>
  </si>
  <si>
    <t>P.O AMOUNT</t>
  </si>
  <si>
    <t>P.O. #</t>
  </si>
  <si>
    <t>REF</t>
  </si>
  <si>
    <t>Description</t>
  </si>
  <si>
    <t>Date</t>
  </si>
  <si>
    <t>A/E</t>
  </si>
  <si>
    <t xml:space="preserve">   BID REVIEW - SUBCONTRACTOR ANALYSIS SPREADSHEET</t>
  </si>
  <si>
    <t>Estimated</t>
  </si>
  <si>
    <t>Amount</t>
  </si>
  <si>
    <t xml:space="preserve">Proposed </t>
  </si>
  <si>
    <t>Final Cleaning</t>
  </si>
  <si>
    <t>Proposal #</t>
  </si>
  <si>
    <t>Re:</t>
  </si>
  <si>
    <t>Sincerely,</t>
  </si>
  <si>
    <t>Antonio Tutino</t>
  </si>
  <si>
    <t>Managing Member/CEO</t>
  </si>
  <si>
    <t>O+D Builders,LLC</t>
  </si>
  <si>
    <t>UNION OR NON UNION</t>
  </si>
  <si>
    <t>INITIATED DATE:</t>
  </si>
  <si>
    <t>Required/Provided</t>
  </si>
  <si>
    <t>Yes or No</t>
  </si>
  <si>
    <t>By Whom</t>
  </si>
  <si>
    <t>Projct Desciption:</t>
  </si>
  <si>
    <t>Outcome:</t>
  </si>
  <si>
    <t>Job Name</t>
  </si>
  <si>
    <t>Street Address</t>
  </si>
  <si>
    <t>Town or Boro, State, Zip</t>
  </si>
  <si>
    <t>Sent</t>
  </si>
  <si>
    <t>Returned</t>
  </si>
  <si>
    <t>Estimating RFI Log</t>
  </si>
  <si>
    <t>SEND PROPOSAL TO (Client or Owners Rep)</t>
  </si>
  <si>
    <t>SOURCE:</t>
  </si>
  <si>
    <t>EMAIL:</t>
  </si>
  <si>
    <t>Owners Rep:</t>
  </si>
  <si>
    <t>Client:</t>
  </si>
  <si>
    <t>Architectural Firm:</t>
  </si>
  <si>
    <t>Building Info:</t>
  </si>
  <si>
    <t>Super:</t>
  </si>
  <si>
    <t>Contact #</t>
  </si>
  <si>
    <t>Bld Manager</t>
  </si>
  <si>
    <t>Email:</t>
  </si>
  <si>
    <t>DUE For Subs</t>
  </si>
  <si>
    <t>DUE FOR SUBS</t>
  </si>
  <si>
    <t>date?</t>
  </si>
  <si>
    <t>Plumbing Fixtures</t>
  </si>
  <si>
    <t>1050</t>
  </si>
  <si>
    <t>General Requirements</t>
  </si>
  <si>
    <t>7% Discount</t>
  </si>
  <si>
    <t>to low bid</t>
  </si>
  <si>
    <t>(Description)</t>
  </si>
  <si>
    <t>Should you have any questions or require any additional information regarding this proposal, please do not hesitate to contact me.</t>
  </si>
  <si>
    <t>60 Bank Street</t>
  </si>
  <si>
    <t>New York, NY 10014</t>
  </si>
  <si>
    <t>Budget</t>
  </si>
  <si>
    <t>Sawicki/Tarella Architectur +Design, P.C.</t>
  </si>
  <si>
    <t>303 West 13th Street</t>
  </si>
  <si>
    <t>New York. NY 10014</t>
  </si>
  <si>
    <t>212-473-4000</t>
  </si>
  <si>
    <t>jtarella@sawickitarella.com; ebowser@sawickitarella.com</t>
  </si>
  <si>
    <t>Joseph S. Tarella / Edward Bowser;</t>
  </si>
  <si>
    <t>Roofing &amp; Decks</t>
  </si>
  <si>
    <t>Doors, Frames &amp; HW</t>
  </si>
  <si>
    <t>Wood Windows</t>
  </si>
  <si>
    <t>Underpinning, Shoring &amp; Support of Excavation</t>
  </si>
  <si>
    <t>Remove rear wall</t>
  </si>
  <si>
    <t>Shore rear corners while removing rear wall</t>
  </si>
  <si>
    <t>Allow</t>
  </si>
  <si>
    <t>Flrs</t>
  </si>
  <si>
    <t>Temporary staircases</t>
  </si>
  <si>
    <t>Rigging for Roof top equipment and materials</t>
  </si>
  <si>
    <t>Not Included</t>
  </si>
  <si>
    <t>Front Façade</t>
  </si>
  <si>
    <t>Loose lintels for door openings</t>
  </si>
  <si>
    <t>Point &amp; repair brick</t>
  </si>
  <si>
    <t>Misc. patching at party walls and rear corners</t>
  </si>
  <si>
    <t>Site Safety &amp; Logistic plan</t>
  </si>
  <si>
    <t>OSHA railing and fall protection</t>
  </si>
  <si>
    <t>Bridge &amp; scaffold at street aide during Facade &amp; Cornice work</t>
  </si>
  <si>
    <t>Dust &amp; Noise mitigation</t>
  </si>
  <si>
    <t>Remove roofing prior to roof deck demo - (assuming ACM has been removed by others)</t>
  </si>
  <si>
    <t>Remove windows and provide removable insulated panels</t>
  </si>
  <si>
    <t>Touch up headers and sills at existing windows</t>
  </si>
  <si>
    <t>Touch up brownstone finish below 1st floor</t>
  </si>
  <si>
    <t>Misc. Demo and Carting</t>
  </si>
  <si>
    <t>Entry Door Surround and pediment</t>
  </si>
  <si>
    <t>Wrought Iron Railings at Entry to basement level and at grade</t>
  </si>
  <si>
    <t>Wrought Iron Handrails at new entry staircase</t>
  </si>
  <si>
    <t>Dunnage for AC equipment</t>
  </si>
  <si>
    <t>Window Walls</t>
  </si>
  <si>
    <t>Drop ceilings thru out - purple bd on BI/HC framing</t>
  </si>
  <si>
    <t>Distraction tape at window walls</t>
  </si>
  <si>
    <t xml:space="preserve">Blocking for draperies </t>
  </si>
  <si>
    <t xml:space="preserve">Furred walls at all perimeter locations including basement 20 ga 1 58" studs with rigid insulation and purple bd sheet rock     </t>
  </si>
  <si>
    <t>FH partition walls throughout</t>
  </si>
  <si>
    <t>Blocking for cabinets</t>
  </si>
  <si>
    <t>Trimmed openings for wood doors</t>
  </si>
  <si>
    <t>Site Work</t>
  </si>
  <si>
    <t>Copper cap on parapets</t>
  </si>
  <si>
    <t>Sauna &amp; Steam Room</t>
  </si>
  <si>
    <t>Brick return and entry at new main entry doors</t>
  </si>
  <si>
    <t>Wood single swing doors &amp; frames at cellar level including trim</t>
  </si>
  <si>
    <t>Main Entry Door &amp; Related frame, trim &amp; Hardware</t>
  </si>
  <si>
    <t>Pairs</t>
  </si>
  <si>
    <t>Primary Residence level single doors</t>
  </si>
  <si>
    <t>Built in Credenza at Living Room</t>
  </si>
  <si>
    <t>Window sills &amp; returns Primed for paint</t>
  </si>
  <si>
    <t>Protection &amp; Logistics</t>
  </si>
  <si>
    <t>Wide long table at Living Room - Solid wood top species TBD</t>
  </si>
  <si>
    <t>Dressing room Cabinets at Primary Residence</t>
  </si>
  <si>
    <t>M Bath west wall cabinets</t>
  </si>
  <si>
    <t>M Bath Vanity</t>
  </si>
  <si>
    <t>Level 3 Closet shelving</t>
  </si>
  <si>
    <t>F&amp;I running and standing trim Primed for paint</t>
  </si>
  <si>
    <t>Framing ang sheetrock under staircases stringers and platforms</t>
  </si>
  <si>
    <t>Painting</t>
  </si>
  <si>
    <t>Install toilet accessories</t>
  </si>
  <si>
    <t>By Others</t>
  </si>
  <si>
    <t>stops</t>
  </si>
  <si>
    <t>integration with wood elevator entry doors</t>
  </si>
  <si>
    <t xml:space="preserve">Flrs </t>
  </si>
  <si>
    <t>Drain lines</t>
  </si>
  <si>
    <t>Provide sewer ejection pump &amp; house trap</t>
  </si>
  <si>
    <t>Connection to HVAC equipment feed, drain lines, etc.</t>
  </si>
  <si>
    <t>Door Saddles</t>
  </si>
  <si>
    <t>Shower Panels at 3rd level bathrooms</t>
  </si>
  <si>
    <t>Wall Cabinets at Kitchen Level</t>
  </si>
  <si>
    <t>Kitchen Island Cabinet</t>
  </si>
  <si>
    <t>Shelving at Level 1 Living room</t>
  </si>
  <si>
    <t>Level 3 Bathroom Vanities</t>
  </si>
  <si>
    <t>New Roof- insulation , protection board, membrane</t>
  </si>
  <si>
    <t>Counter flashing at parapet and enclosure curb</t>
  </si>
  <si>
    <t>Waterproofing at planters including Mira Drains &amp; flashing</t>
  </si>
  <si>
    <t>Kitchen level doors to Powder room and Pantry</t>
  </si>
  <si>
    <t>Elevator entry doors with hinges and - magnetic release integrated with elevator operations</t>
  </si>
  <si>
    <t>Premium for water resistant sheetrock at bathrooms</t>
  </si>
  <si>
    <t>Custom 5 stop Elevator by Saveria Zenith or approved equal</t>
  </si>
  <si>
    <t>upgrade sewer service</t>
  </si>
  <si>
    <t>Sprinkler risers and main  distribution on each floor</t>
  </si>
  <si>
    <t>Tamper switches , valves, gauges, etc.</t>
  </si>
  <si>
    <t>Concealed sprinkler heads</t>
  </si>
  <si>
    <t>Siamese connection at grade</t>
  </si>
  <si>
    <t>New Service end box at POE for electric (Upgrading service assumed to be by Con ED- Con ED fees/costs are not included)</t>
  </si>
  <si>
    <t>Misc. painting and touch ups</t>
  </si>
  <si>
    <t>wk.</t>
  </si>
  <si>
    <t>Paint cellar level with waterproof paint</t>
  </si>
  <si>
    <t>Sauna and Steam Room</t>
  </si>
  <si>
    <t>Revised</t>
  </si>
  <si>
    <t>Remove brick arch walls in cellar</t>
  </si>
  <si>
    <t>Steel columns for rear steel beams</t>
  </si>
  <si>
    <t>Underpinning at west wall for elevator pit and lowered slab areas</t>
  </si>
  <si>
    <t>Lower window sills at the parlor level windows and redo sill details</t>
  </si>
  <si>
    <t>Steel beams to support slab edges and window walls</t>
  </si>
  <si>
    <t>Reframing and sheathing at areas for new joists at elevator &amp; staircase</t>
  </si>
  <si>
    <t>Provide vertical channels to be moved up the walls as each floor is set in place and the next is ready for demo</t>
  </si>
  <si>
    <t>Included</t>
  </si>
  <si>
    <t>7/290</t>
  </si>
  <si>
    <t>24-038C</t>
  </si>
  <si>
    <t>Proposal</t>
  </si>
  <si>
    <t>Removal of floor joists at the parlor level and those from the south side of the new elevator shaft to the northside of the new stair case</t>
  </si>
  <si>
    <t>Gym Mirrors</t>
  </si>
  <si>
    <t>Plaster Finishes</t>
  </si>
  <si>
    <t>CMU shaft wall on 3 sides for the elevator, grout filled with bond beam reinforcement at all floors</t>
  </si>
  <si>
    <t>Streel framing for Master bath bench</t>
  </si>
  <si>
    <t>Rough &amp; Finish Carpentry</t>
  </si>
  <si>
    <t>By Owner</t>
  </si>
  <si>
    <t>Laborers (part time)</t>
  </si>
  <si>
    <t xml:space="preserve">Labor Foreman </t>
  </si>
  <si>
    <t xml:space="preserve">Super  </t>
  </si>
  <si>
    <t>Cellar Floor</t>
  </si>
  <si>
    <t>Furnish &amp; install waste, water and vent for (1) steam room.</t>
  </si>
  <si>
    <t>Furnish &amp; install waste, water and vent for (1) sauna.</t>
  </si>
  <si>
    <t>Furnish &amp; install new waste, water and vent for powder room including (1) WC, (1) LAV.</t>
  </si>
  <si>
    <t>Furnish &amp; install new waste, water and vent for (1) sink.</t>
  </si>
  <si>
    <t>Furnish &amp; install new waste, water and vent for laundry.</t>
  </si>
  <si>
    <t>Furnish &amp; install automatic shutoff, pan and sensor for washer/dryer.</t>
  </si>
  <si>
    <t>Basement Floor</t>
  </si>
  <si>
    <t>Furnish &amp; install new waste, water and vent for kitchen including (2) KS, (1) DW.</t>
  </si>
  <si>
    <t>Furnish &amp; install new gas line for (1) range.</t>
  </si>
  <si>
    <t>Furnish &amp; install new water line to (1) refrigerator.</t>
  </si>
  <si>
    <t>Furnish &amp; install new waste, water and vent for pantry including (1) KS.</t>
  </si>
  <si>
    <t>1st Floor</t>
  </si>
  <si>
    <t>Furnish &amp; install waste, water and vent piping as per the drawings.</t>
  </si>
  <si>
    <t>Furnish &amp; install gas line for (1) fireplace.</t>
  </si>
  <si>
    <t>2nd Floor</t>
  </si>
  <si>
    <t>Furnish &amp; install new waste, water and vent for master bathroom including (1) WC, (2) LAV, (1) SH, (1) TUB.</t>
  </si>
  <si>
    <t>Furnish &amp; install (1) lead pan.</t>
  </si>
  <si>
    <t>3rd Floor</t>
  </si>
  <si>
    <t>Furnish &amp; install new waste, water and vent for bathroom including (1) WC, (1) LAV, (1) TUB.</t>
  </si>
  <si>
    <t>Furnish &amp; install new waste, water and vent for bathroom including (1) WC, (1) LAV, (1) SH.</t>
  </si>
  <si>
    <t>Furnish &amp; install (2) lead pan.</t>
  </si>
  <si>
    <t>Roof</t>
  </si>
  <si>
    <t>Furnish &amp; install (1) area drain, (2) roof drain.</t>
  </si>
  <si>
    <t>Furnish &amp; install (1) gas fired tankless water heater, (1) storage tank, (1) expansion tank.</t>
  </si>
  <si>
    <t>Furnish &amp; install (1) recirculation pump, (1) sewage ejector pump, (1) storm drain pump, (1) elevator sump pump.</t>
  </si>
  <si>
    <t>Furnish &amp; install (1) 3" house shutoff valve, (1) sanitary house trap, (1) storm house trap,(1) water meter.</t>
  </si>
  <si>
    <t>Furnish &amp; install (1) 2 1/2" DCDA, (1) 1 1/2" RPZ</t>
  </si>
  <si>
    <t>Furnish &amp; install insulation on hot and cold water piping.</t>
  </si>
  <si>
    <t xml:space="preserve">Furnish &amp; install new waste, water and vent for (7) trench drain at LAV.  </t>
  </si>
  <si>
    <t>All pipe insulation</t>
  </si>
  <si>
    <t>Donato</t>
  </si>
  <si>
    <t>Electric Radiant Heat</t>
  </si>
  <si>
    <t>M&amp;T</t>
  </si>
  <si>
    <t>Not Incld</t>
  </si>
  <si>
    <t>Echo</t>
  </si>
  <si>
    <t>Ostroff</t>
  </si>
  <si>
    <t>Infill exterior wall areas with brick</t>
  </si>
  <si>
    <t>Remove wood nailers, point and patch brick walls throughout east &amp; west walls</t>
  </si>
  <si>
    <t>Remove wood nailers and point front wall interior</t>
  </si>
  <si>
    <t>Provide ties and straps to front wall for carpenter to connect to new joist "sisters"</t>
  </si>
  <si>
    <t>Interior Masonry Remediation</t>
  </si>
  <si>
    <t>Steel and metal deck for parlor level floor &amp; roof bulkhead</t>
  </si>
  <si>
    <t>Steel phased erection (floor by floor)</t>
  </si>
  <si>
    <t>Ornamental Iron Works</t>
  </si>
  <si>
    <t>Wrought Iron Basement level Gate</t>
  </si>
  <si>
    <t>Handco</t>
  </si>
  <si>
    <t xml:space="preserve">Furnish and install Hidded Stringer Steel staircase </t>
  </si>
  <si>
    <t>Metal work</t>
  </si>
  <si>
    <t>Alternate 2</t>
  </si>
  <si>
    <t>Gym Towel Station</t>
  </si>
  <si>
    <t>WI Wall rails to Basement entry</t>
  </si>
  <si>
    <t>1srt floor window grilles</t>
  </si>
  <si>
    <t>Hudson Group WI light fixtures at façade</t>
  </si>
  <si>
    <t>Rasomuro Interior Door Systems by Lauldi</t>
  </si>
  <si>
    <t>wine storage room doors at cellar</t>
  </si>
  <si>
    <t>PR</t>
  </si>
  <si>
    <t>Laundry room doors</t>
  </si>
  <si>
    <t>Over sized single door</t>
  </si>
  <si>
    <t>WIC</t>
  </si>
  <si>
    <t>Primary Bathroom</t>
  </si>
  <si>
    <t>Finish Carpentry</t>
  </si>
  <si>
    <t>Install wood doors</t>
  </si>
  <si>
    <t>Install Front windows</t>
  </si>
  <si>
    <t>Rough Carpentry</t>
  </si>
  <si>
    <t>Special Flooring/Wall/Ceiling Products</t>
  </si>
  <si>
    <t>Mobility</t>
  </si>
  <si>
    <t>Furnished By the Owner</t>
  </si>
  <si>
    <t>Permits and signoffs</t>
  </si>
  <si>
    <t>Capitol</t>
  </si>
  <si>
    <t>NC</t>
  </si>
  <si>
    <t>King C</t>
  </si>
  <si>
    <t>Glass Railing</t>
  </si>
  <si>
    <t>Temporary Lights and Power</t>
  </si>
  <si>
    <t>Install Controls</t>
  </si>
  <si>
    <t>:LS</t>
  </si>
  <si>
    <t xml:space="preserve">20 AMP Dedicated Receptacle - Toilet 1  </t>
  </si>
  <si>
    <t xml:space="preserve"> 20 AMP Dedicated Receptacle - Appliance 19  </t>
  </si>
  <si>
    <t xml:space="preserve"> 30 AMP Dedicated Receptacle - Appliance 2  </t>
  </si>
  <si>
    <t xml:space="preserve"> 60 AMP Dedicated Receptacle - Appliance 2  </t>
  </si>
  <si>
    <t xml:space="preserve"> Claro Receptacles  60  </t>
  </si>
  <si>
    <t xml:space="preserve"> Claro Receptacles - AV 10  </t>
  </si>
  <si>
    <t xml:space="preserve"> Claro GFI Receptacles  13  </t>
  </si>
  <si>
    <t xml:space="preserve"> 1-Gang Floor Receptacles - Power 5  </t>
  </si>
  <si>
    <t xml:space="preserve"> 15A WP Receptacle 9  </t>
  </si>
  <si>
    <t xml:space="preserve"> Smoke/ CO Detector 6 </t>
  </si>
  <si>
    <t>Branch Circuit Distribution</t>
  </si>
  <si>
    <t xml:space="preserve">C. Pump - Power - JB 11  </t>
  </si>
  <si>
    <t xml:space="preserve"> ESP-# 20AMP EMT 1  </t>
  </si>
  <si>
    <t xml:space="preserve"> HWCP-# 20AMP EMT 1  </t>
  </si>
  <si>
    <t xml:space="preserve"> HWH-# 20AMP EMT 1  </t>
  </si>
  <si>
    <t xml:space="preserve"> Sauna 30AMP 1  </t>
  </si>
  <si>
    <t xml:space="preserve"> Steam Gen 60AMP 1  </t>
  </si>
  <si>
    <t xml:space="preserve"> Drain Pump 20AMP EMT 1  </t>
  </si>
  <si>
    <t xml:space="preserve"> Ejector Pump 30AMP EMT 1  </t>
  </si>
  <si>
    <t xml:space="preserve"> Elev Cab 30AMP EMT 1  </t>
  </si>
  <si>
    <t xml:space="preserve"> Elev Pit LT/ Swt/ GFI - 3/4" EMT 2/12 </t>
  </si>
  <si>
    <t>Equipment Wiring</t>
  </si>
  <si>
    <t xml:space="preserve">Electrical Floor Heat (M204-M205, M400 - 7.8.25) </t>
  </si>
  <si>
    <t xml:space="preserve">Mechanical Equipment/ Control Wiring (M Series - 7.8.25) </t>
  </si>
  <si>
    <t xml:space="preserve">CU-# 100AMP GAL/EMT 2  </t>
  </si>
  <si>
    <t xml:space="preserve"> CU-# 60AMP GAL/EMT 3  </t>
  </si>
  <si>
    <t xml:space="preserve"> BC-# (HVAC-Cntrlr) 20AMP 12/3C 5  </t>
  </si>
  <si>
    <t xml:space="preserve"> FCU-# 20AMP 12/3C 11  </t>
  </si>
  <si>
    <t xml:space="preserve"> Downdraft Extractor 20AMP 12/2C 1  </t>
  </si>
  <si>
    <t xml:space="preserve"> EF-# 20AMP GAL/EMT 1  </t>
  </si>
  <si>
    <t xml:space="preserve"> ERV-# 30AMP GAL/EMT 1  </t>
  </si>
  <si>
    <t xml:space="preserve"> Interlock Wiring 10  </t>
  </si>
  <si>
    <t xml:space="preserve"> Thermostat/ Sensor 11  </t>
  </si>
  <si>
    <t xml:space="preserve"> Motorized Damper 2  </t>
  </si>
  <si>
    <t xml:space="preserve"> Leak Detection 16 </t>
  </si>
  <si>
    <t xml:space="preserve">Electrical Panels &amp; Feeders (E300 &amp; E400 - 7.8.25) </t>
  </si>
  <si>
    <t xml:space="preserve">Service End Box 1  </t>
  </si>
  <si>
    <t xml:space="preserve"> Wire Trough 1  </t>
  </si>
  <si>
    <t xml:space="preserve"> 150A PP-DS 1  </t>
  </si>
  <si>
    <t xml:space="preserve"> 100A MP1-DS 1  </t>
  </si>
  <si>
    <t xml:space="preserve"> 200A MP2-DS 1  </t>
  </si>
  <si>
    <t xml:space="preserve"> 60A Elev-DS 1  </t>
  </si>
  <si>
    <t xml:space="preserve"> PP 200A/ 42P 1  </t>
  </si>
  <si>
    <t xml:space="preserve"> LP1 125A/ 42P 1  </t>
  </si>
  <si>
    <t xml:space="preserve"> LP2 125A/ 42P 1  </t>
  </si>
  <si>
    <t xml:space="preserve"> MP1 125A/ 42P 1  </t>
  </si>
  <si>
    <t xml:space="preserve"> MP2 200A/ 42P 1  </t>
  </si>
  <si>
    <t xml:space="preserve"> Service G&amp;B 1  </t>
  </si>
  <si>
    <t xml:space="preserve"> 4" GRC - Sleeve Empty 10 </t>
  </si>
  <si>
    <t>Elevator Motor Disconnect switch</t>
  </si>
  <si>
    <t xml:space="preserve"> CT Cab &amp; Meter Pan 1  Meter to be Furnished by Con Ed</t>
  </si>
  <si>
    <t>Light Fixture wiring and installations</t>
  </si>
  <si>
    <t>Millwork lighting</t>
  </si>
  <si>
    <t>POE sleeves</t>
  </si>
  <si>
    <t>Furnish and install VRF systems as shown including all associated rigging, piping, controls and start up.</t>
  </si>
  <si>
    <t>Furnish and install ERV as shown all associated rigging, ductwork, controls and start up.</t>
  </si>
  <si>
    <t>Furnish and install dampers and louvers as shown.</t>
  </si>
  <si>
    <t>Furnish and install vibration isolation as shown.</t>
  </si>
  <si>
    <t>Furnish and install air outlets as shown.</t>
  </si>
  <si>
    <t>Furnish and install Vent piping as shown.</t>
  </si>
  <si>
    <t>Reclaim, Cut and Cap existing pipes and ductwork and fuel oil.</t>
  </si>
  <si>
    <t>Air balancing.</t>
  </si>
  <si>
    <t>As built drawings and operation and Maintenance Manuals.</t>
  </si>
  <si>
    <t>Ulocn</t>
  </si>
  <si>
    <t>Comfortaire</t>
  </si>
  <si>
    <t>Goldbrecht</t>
  </si>
  <si>
    <t xml:space="preserve">Sided roof enclosure with sliding door on one side </t>
  </si>
  <si>
    <t>Fixed window panels at the 1st Floor</t>
  </si>
  <si>
    <t>Installation</t>
  </si>
  <si>
    <t>Bronx IW</t>
  </si>
  <si>
    <t>Bedroom &amp; Privacy suite single doors #rd Floor</t>
  </si>
  <si>
    <t>Lualdi (Interior doors only)</t>
  </si>
  <si>
    <t>Basement level entry Door</t>
  </si>
  <si>
    <t>Master Bath walls - Tadellakt Plaster (603)</t>
  </si>
  <si>
    <t>Cellar Walls cementious finish by Topcimnet</t>
  </si>
  <si>
    <t>Gym Ceiling</t>
  </si>
  <si>
    <t>Specialty Finishes</t>
  </si>
  <si>
    <t>Artisan Plaster</t>
  </si>
  <si>
    <t>Conkreto</t>
  </si>
  <si>
    <t>Skylight</t>
  </si>
  <si>
    <t>Waterproofing</t>
  </si>
  <si>
    <t>Allowances</t>
  </si>
  <si>
    <t>Doors, Frames &amp; Hardware</t>
  </si>
  <si>
    <t>Brick or Stone pavers at rear garden</t>
  </si>
  <si>
    <t>New sidewalk</t>
  </si>
  <si>
    <t>F&amp;I Soldier piles and wood timber lagging</t>
  </si>
  <si>
    <t>Concrete heel blocks</t>
  </si>
  <si>
    <t>Include all steel bracing, whalers and Rakers, including welded connections</t>
  </si>
  <si>
    <t>Parge rubble walls</t>
  </si>
  <si>
    <t>Excavation and backfill</t>
  </si>
  <si>
    <t>Demo Cellar Slab</t>
  </si>
  <si>
    <t>Concrete on metal deck at the parlor level &amp; Bulkhead</t>
  </si>
  <si>
    <t>Excavation</t>
  </si>
  <si>
    <t>Foundations &amp; Slabs below grade</t>
  </si>
  <si>
    <t>Create new opening for entry doors</t>
  </si>
  <si>
    <t>Areaway slab and steps</t>
  </si>
  <si>
    <t>Wall footings &amp; Foundation walls</t>
  </si>
  <si>
    <t>Waterproofing below grade and behind foundation walls including rigid insulation</t>
  </si>
  <si>
    <t>Centrifical</t>
  </si>
  <si>
    <t>on deck in styeel#</t>
  </si>
  <si>
    <t>tgrade sm w/o GRs</t>
  </si>
  <si>
    <t>GRs + GCs</t>
  </si>
  <si>
    <t xml:space="preserve"> Finish over New Stairs to 1st floor in Brownstone finish</t>
  </si>
  <si>
    <t>Maspeth</t>
  </si>
  <si>
    <t>Finish Hardware (Locksets &amp; Levers</t>
  </si>
  <si>
    <t>Block and Brick at Roof Bulkhead</t>
  </si>
  <si>
    <t>Furnished by others</t>
  </si>
  <si>
    <t>blocking at windows returns</t>
  </si>
  <si>
    <t>Ennell</t>
  </si>
  <si>
    <t>TBD</t>
  </si>
  <si>
    <t>trade w/out GRs</t>
  </si>
  <si>
    <t>%</t>
  </si>
  <si>
    <t>Tile/Stone</t>
  </si>
  <si>
    <t>Self leveling under wood floor and over mesh</t>
  </si>
  <si>
    <t>Heywood-Berk</t>
  </si>
  <si>
    <t>Shelves at Laundry room</t>
  </si>
  <si>
    <t>Plaster at walls on Cellar &amp; Basement</t>
  </si>
  <si>
    <t>1st &amp; 2nd Floors (05) Microcement</t>
  </si>
  <si>
    <t>Jato</t>
  </si>
  <si>
    <t>Mirror panels at Master suite Wardrobe room are assumed to be by the Owners Millworker.</t>
  </si>
  <si>
    <t>Allow/SF</t>
  </si>
  <si>
    <t>Wood treads and risers</t>
  </si>
  <si>
    <t>Alternate 1</t>
  </si>
  <si>
    <t>New Tree pit, frame and grille</t>
  </si>
  <si>
    <t>New Curb</t>
  </si>
  <si>
    <t>New 6" tree</t>
  </si>
  <si>
    <t>Metal base and head trim throughout</t>
  </si>
  <si>
    <t>We included the rear window elevations to be by Goldbrecht</t>
  </si>
  <si>
    <t>Stone &amp; Tile</t>
  </si>
  <si>
    <t>Chevron Strip tile at Master Bathroom</t>
  </si>
  <si>
    <t>Wall Stone tile at M Bathroom</t>
  </si>
  <si>
    <t>Stone tile at Guest Bathroom Floors</t>
  </si>
  <si>
    <t>Staff bath room floor tile</t>
  </si>
  <si>
    <t>Staff bathroom wall tile</t>
  </si>
  <si>
    <t>export excavated soil</t>
  </si>
  <si>
    <t>Basement 10" slab (includes extension)</t>
  </si>
  <si>
    <t>Remove plaster from staircase wall</t>
  </si>
  <si>
    <t>Remove staircase and related framing</t>
  </si>
  <si>
    <t>Remove and rebuild bulging are of 3rd floor west wall, including shoring the joist above while the work is completed</t>
  </si>
  <si>
    <t>Wrought Iron railings at roof levels</t>
  </si>
  <si>
    <t>Sistered joist south of elevator shaft @ basement, level 3</t>
  </si>
  <si>
    <t>New plywood sub floor @ basement, level,  2, 3 &amp; Roof</t>
  </si>
  <si>
    <t>Connect tie backs at front façade to wood joists</t>
  </si>
  <si>
    <t>Glass walls at sauna &amp; steam rooms w/doors (Bendheim allowance $75/SF)</t>
  </si>
  <si>
    <t>Glass walls &amp; door at cellar bathroom (Bendheim Allowance $75/SF)</t>
  </si>
  <si>
    <t>Shower enclosure at Guest Bath</t>
  </si>
  <si>
    <t>Window wall from Basement to 1st floor with sliding doors</t>
  </si>
  <si>
    <t>Matching outswing windows at the 2nd &amp; 3rd floors</t>
  </si>
  <si>
    <t>Guest bathroom stone wall tile</t>
  </si>
  <si>
    <t>Cellar Floor cementious finish by Topcimnet</t>
  </si>
  <si>
    <t>Plaster at walls at 2 &amp; 3rd floor</t>
  </si>
  <si>
    <t>Furnish and Install 3" combined water service</t>
  </si>
  <si>
    <t>Obtain Permits and sign-offs</t>
  </si>
  <si>
    <t>Furnish &amp; install waste, water and vent for (4) floor drain with trap primer.</t>
  </si>
  <si>
    <t>Furnish &amp; install water line for (3) hose bib with backflow preventer.</t>
  </si>
  <si>
    <t>Furnish &amp; install (1) whole house filtration system. (Furnish allowance = $7500)</t>
  </si>
  <si>
    <t>Furnish and install fans as shown including all associated ductwork, controls and start up.</t>
  </si>
  <si>
    <t>Millwork Lighting Installation</t>
  </si>
  <si>
    <t>Bendheim glass panels at walls and ceiling of the elevator cab</t>
  </si>
  <si>
    <t>Paint ceilings throughout the residence</t>
  </si>
  <si>
    <t>(set in place only)</t>
  </si>
  <si>
    <t>Plumbing Continued</t>
  </si>
  <si>
    <t xml:space="preserve">Furnish &amp; install new waste, water and vent for (5) trench drain, </t>
  </si>
  <si>
    <t>Electric Continued</t>
  </si>
  <si>
    <t>We have not included installation of the window shutters at the front of the building</t>
  </si>
  <si>
    <t xml:space="preserve">Security system equipment and wiring is not included.   </t>
  </si>
  <si>
    <t>Nor Fire Alarm System has been included.</t>
  </si>
  <si>
    <t>Bath Vanities including integral sinks are the be furnished by Others</t>
  </si>
  <si>
    <t>We have include the Bendheim glass materials @ $75/SF</t>
  </si>
  <si>
    <t>We have assumed that the locksets and handles or levers for the wood doors will be furnished by the Owner.</t>
  </si>
  <si>
    <t>Stone tile 306 at Cellar floors</t>
  </si>
  <si>
    <t>Stone tile Bathroom walls at cellar</t>
  </si>
  <si>
    <t xml:space="preserve">Stone floor tile at Powder room   </t>
  </si>
  <si>
    <t xml:space="preserve">Wall tile powder room  </t>
  </si>
  <si>
    <t>We have included the "Stone Tile" through out at an allowance of  $90/SF (with Exception of the M Bathroom which we allowed $110/SF)and assume it will be cut to size before shipping. Porcelain tile for the staff bath was included at $50/SF.</t>
  </si>
  <si>
    <t>Alternate</t>
  </si>
  <si>
    <t>See Alternate</t>
  </si>
  <si>
    <t>Alternate 3</t>
  </si>
  <si>
    <t xml:space="preserve">Fireplace </t>
  </si>
  <si>
    <t>Blue Stone at areaway including treads</t>
  </si>
  <si>
    <t>Rasomuro Interior Door Systems by Lauldi, including Installation</t>
  </si>
  <si>
    <t>Roof Level Wet Bar &amp; Open Cabinets</t>
  </si>
  <si>
    <t>INCLUDED</t>
  </si>
  <si>
    <t>Wall Cabinets in Guest Suites</t>
  </si>
  <si>
    <t>NOT INCLUDED BY BOFFI</t>
  </si>
  <si>
    <t>NOT INCLUDED BY OTHERS</t>
  </si>
  <si>
    <t xml:space="preserve">See Alternate </t>
  </si>
  <si>
    <t>ALL STONE MATERIALS ARE TO BE FURNISHED BY OTHERS</t>
  </si>
  <si>
    <r>
      <t>Furnish and install Hidden Stringer Steel staircase</t>
    </r>
    <r>
      <rPr>
        <b/>
        <sz val="11"/>
        <color rgb="FFFF0000"/>
        <rFont val="Times New Roman"/>
        <family val="1"/>
      </rPr>
      <t xml:space="preserve"> BUDGET</t>
    </r>
  </si>
  <si>
    <t>Glass walls/doors at WC and shower at Primary Bathroom w/ doors</t>
  </si>
  <si>
    <t>BY OTHERS</t>
  </si>
  <si>
    <t>Install only Materials are FBO</t>
  </si>
  <si>
    <t>Fireplace</t>
  </si>
  <si>
    <t xml:space="preserve">Furnish and install FP Vent  </t>
  </si>
  <si>
    <t xml:space="preserve">Stone at Fireplace </t>
  </si>
  <si>
    <t>Enclosed please find DNP Builders, LLC d/b/a O+D Builders revised proposal for the work at the above noted project.</t>
  </si>
  <si>
    <t>Rev.</t>
  </si>
  <si>
    <t>Alternate 4</t>
  </si>
  <si>
    <t>Furnish and install Window walls at Rear of Building by GoldBreht</t>
  </si>
  <si>
    <t>Bracing and jacks for each under pinning lift (moved as the adjacent lifts are set)</t>
  </si>
  <si>
    <t>Specialty Glass work at cellar and bathrooms</t>
  </si>
  <si>
    <t>C&amp;M</t>
  </si>
  <si>
    <t>Allow/LF</t>
  </si>
  <si>
    <t>Delta</t>
  </si>
  <si>
    <t>Comments</t>
  </si>
  <si>
    <t>Containers</t>
  </si>
  <si>
    <t>allow</t>
  </si>
  <si>
    <t>PM &amp; Est to GCs</t>
  </si>
  <si>
    <t>swift</t>
  </si>
  <si>
    <t>No.</t>
  </si>
  <si>
    <t>VE Item</t>
  </si>
  <si>
    <t>Specific Substitution / Product</t>
  </si>
  <si>
    <t>Kitchen Countertops</t>
  </si>
  <si>
    <t>Bathroom Stone Vanities</t>
  </si>
  <si>
    <t>Shower Walls</t>
  </si>
  <si>
    <t>Instead of full slab walls (Calacatta or Dolomiti), use Laminam 5.6mm porcelain slabs (“Statuario Venato Soft Touch”) — similar look, lower install cost, no sealing.</t>
  </si>
  <si>
    <t>Interior Doors</t>
  </si>
  <si>
    <t>Hardware</t>
  </si>
  <si>
    <t>Millwork Veneers</t>
  </si>
  <si>
    <t>Casework in Secondary Spaces</t>
  </si>
  <si>
    <t>Shower Glass</t>
  </si>
  <si>
    <t>Lighting Fixtures</t>
  </si>
  <si>
    <t>Mirror Systems</t>
  </si>
  <si>
    <t>Toilets</t>
  </si>
  <si>
    <t>Closets</t>
  </si>
  <si>
    <t>Fireplace Surrounds</t>
  </si>
  <si>
    <t>Swap marble or limestone mantels with Chesneys “Classic Collection” cast stone or Eldorado Architectural Stone kits — prefab and site-trimmable.</t>
  </si>
  <si>
    <t>Window Treatments</t>
  </si>
  <si>
    <t>Tile Format &amp; Pattern</t>
  </si>
  <si>
    <t xml:space="preserve">Replace Valli &amp; Valli or FSB with Emtek “Stretto” or “Select” levers in satin brass  </t>
  </si>
  <si>
    <t xml:space="preserve">Instead of herringbone or chevron in marble, use 24x48” porcelain tiles (Stone Source or Artistic Tile) in stacked pattern </t>
  </si>
  <si>
    <t xml:space="preserve">Replace Calacatta Oro slab with Silestone “Ethereal Dusk” (2cm thickness)  </t>
  </si>
  <si>
    <t>Radiant Flooring</t>
  </si>
  <si>
    <t>Windows</t>
  </si>
  <si>
    <t xml:space="preserve">Use CRL Geneva Series 3/8” clear glass enclosures with chrome or matte black hardware instead of Bendheim glass  </t>
  </si>
  <si>
    <t>Replace shutters and pockets with concealed track shades</t>
  </si>
  <si>
    <t xml:space="preserve">Swap Toto “Neorest” with Duravit “ME by Starck” or Toto “Acquia IV” w/ soft-close seat  </t>
  </si>
  <si>
    <t>Town House Renovation</t>
  </si>
  <si>
    <t>Starcase &amp; Handrails</t>
  </si>
  <si>
    <t>Source the staircase locally including the handrails</t>
  </si>
  <si>
    <t>Reduce scope by deleting at wood flooring areas at  3rd floor, roof and other zones</t>
  </si>
  <si>
    <t>Replace Rasomuro Interior Door Systems with local equivalent with shop finishes</t>
  </si>
  <si>
    <t>Use Reform “Basis” or Henrybuilt “Standard Series” in offices, laundry, and secondary baths</t>
  </si>
  <si>
    <t>Wall Finishes</t>
  </si>
  <si>
    <t>Value Engineering Suggestions</t>
  </si>
  <si>
    <t>SOE</t>
  </si>
  <si>
    <t>Replace custom millwork closets with California Closets “Virtuoso” or “Avera” lines at 3rd floor and staff rooms</t>
  </si>
  <si>
    <t>Master Closet</t>
  </si>
  <si>
    <t>Possible alternate SOE procedures to be reviewed between SOE contractor and EOR</t>
  </si>
  <si>
    <t>Paint vs, Plaster at 3rd floor finishes (all paint as level 5)</t>
  </si>
  <si>
    <t>Specified flooring is very expensive- review  alternate options</t>
  </si>
  <si>
    <t>Replace Specialty Windows at rear with local tile and turn windows with similar finish and profile</t>
  </si>
  <si>
    <t>Source Millwork veneers locally and fabricate in US</t>
  </si>
  <si>
    <t xml:space="preserve">Substitute honed Statuario marble with Penta Quartz “Lattice” or Caesarstone “Calacatta Nuvo” </t>
  </si>
  <si>
    <t>Consider Local Sourcing for Master Closet</t>
  </si>
  <si>
    <t xml:space="preserve">Replace custom light-integrated mirrors with Electric Mirror “Integrity” or Robern “AI Series” — </t>
  </si>
  <si>
    <t>Lighting Controls</t>
  </si>
  <si>
    <t>Limit Lighting Controls abovce the 1st floor to local dimmers</t>
  </si>
  <si>
    <t xml:space="preserve">Swap Apparatus Studio or Roll &amp; Hill decorative fixtures with Visual Comfort’s “E. F. Chapman” or “Kelly Wearstler” lines  </t>
  </si>
  <si>
    <t>Steps at wine storage closet (below the line)</t>
  </si>
  <si>
    <t>Steam room bench and sheathing (below the line)</t>
  </si>
  <si>
    <t>Frunish and Install Ortal Gas FP ~8-9" long (Below the line)</t>
  </si>
  <si>
    <t>Install crack &amp; movement monitors and survey weekly during structural  work</t>
  </si>
  <si>
    <t xml:space="preserve">Fiber glass cornice and copper cap  </t>
  </si>
  <si>
    <t xml:space="preserve">Bathroom Mirrors  </t>
  </si>
  <si>
    <t xml:space="preserve">Simulated "Double hung windows" for Landmark verified Front Elevations, including brick stop trim on the exterior  </t>
  </si>
  <si>
    <t xml:space="preserve">Glass wall from 1st to 2nd floor at staircase </t>
  </si>
  <si>
    <t xml:space="preserve">Glass railings at Livingroom &amp; Primary suite  </t>
  </si>
  <si>
    <t>Distraction film at glass walls</t>
  </si>
  <si>
    <t>11/4/2025</t>
  </si>
  <si>
    <t>FBO</t>
  </si>
  <si>
    <t>Finish Hardware -Locksets &amp; Levers</t>
  </si>
  <si>
    <t xml:space="preserve">Wood flooring , Ebony &amp; Company pre engineered flooring over new plywood and electric heating mesh- </t>
  </si>
  <si>
    <t>Alternate 5</t>
  </si>
  <si>
    <t xml:space="preserve">Wood Roof Decks </t>
  </si>
  <si>
    <t xml:space="preserve">"Wood" decking on Pedestals @ roof  </t>
  </si>
  <si>
    <t xml:space="preserve">"Wood" decking on Pedestals @ Master suite terrace  </t>
  </si>
  <si>
    <t>Wood Roof Decks Allowances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</si>
</sst>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-mmm\-yy_)"/>
    <numFmt numFmtId="165" formatCode="0%;[Red]\-0%"/>
    <numFmt numFmtId="166" formatCode="General;[Red]\-General"/>
    <numFmt numFmtId="167" formatCode="&quot;$&quot;#,##0.00"/>
    <numFmt numFmtId="168" formatCode="&quot;$&quot;#,##0"/>
    <numFmt numFmtId="169" formatCode="mm/dd/yy"/>
    <numFmt numFmtId="170" formatCode="0.0%"/>
    <numFmt numFmtId="171" formatCode="0_);\(0\)"/>
    <numFmt numFmtId="172" formatCode="[&lt;=9999999]###\-####;\(###\)\ ###\-####"/>
    <numFmt numFmtId="173" formatCode="\(???\)\ ???\-????"/>
    <numFmt numFmtId="174" formatCode="0_);[Red]\(0\)"/>
    <numFmt numFmtId="175" formatCode="[$-409]mmmm\ d\,\ yyyy;@"/>
    <numFmt numFmtId="176" formatCode="_(&quot;$&quot;* #,##0_);_(&quot;$&quot;* \(#,##0\);_(&quot;$&quot;* &quot;-&quot;??_);_(@_)"/>
    <numFmt numFmtId="177" formatCode="_(* #,##0_);_(* \(#,##0\);_(* &quot;-&quot;??_);_(@_)"/>
    <numFmt numFmtId="178" formatCode="0.0"/>
    <numFmt numFmtId="179" formatCode="m/d/yy;@"/>
  </numFmts>
  <fonts count="69">
    <font>
      <sz val="12"/>
      <name val="Arial MT"/>
    </font>
    <font>
      <sz val="12"/>
      <name val="Times New Roman"/>
      <family val="1"/>
    </font>
    <font>
      <b/>
      <i/>
      <sz val="16"/>
      <color indexed="8"/>
      <name val="Arial MT"/>
    </font>
    <font>
      <b/>
      <sz val="18"/>
      <color indexed="8"/>
      <name val="Arial MT"/>
    </font>
    <font>
      <sz val="12"/>
      <color indexed="8"/>
      <name val="Arial MT"/>
    </font>
    <font>
      <sz val="10"/>
      <color indexed="8"/>
      <name val="Arial MT"/>
    </font>
    <font>
      <b/>
      <sz val="14"/>
      <color indexed="8"/>
      <name val="Arial MT"/>
    </font>
    <font>
      <b/>
      <sz val="12"/>
      <color indexed="8"/>
      <name val="Arial MT"/>
    </font>
    <font>
      <b/>
      <u/>
      <sz val="16"/>
      <color indexed="8"/>
      <name val="Arial MT"/>
    </font>
    <font>
      <b/>
      <sz val="16"/>
      <color indexed="8"/>
      <name val="Arial MT"/>
    </font>
    <font>
      <b/>
      <u/>
      <sz val="12"/>
      <color indexed="8"/>
      <name val="Arial MT"/>
    </font>
    <font>
      <b/>
      <sz val="16"/>
      <color indexed="8"/>
      <name val="Arial MT"/>
      <family val="2"/>
    </font>
    <font>
      <sz val="10"/>
      <name val="Arial"/>
      <family val="2"/>
    </font>
    <font>
      <sz val="12"/>
      <name val="Arial"/>
      <family val="2"/>
    </font>
    <font>
      <sz val="12"/>
      <name val="Arial MT"/>
    </font>
    <font>
      <b/>
      <i/>
      <sz val="18"/>
      <color indexed="8"/>
      <name val="Arial MT"/>
    </font>
    <font>
      <b/>
      <sz val="12"/>
      <name val="Arial MT"/>
    </font>
    <font>
      <sz val="14"/>
      <color indexed="8"/>
      <name val="Arial MT"/>
      <family val="2"/>
    </font>
    <font>
      <b/>
      <sz val="14"/>
      <color indexed="8"/>
      <name val="Arial MT"/>
      <family val="2"/>
    </font>
    <font>
      <sz val="14"/>
      <color indexed="8"/>
      <name val="Arial MT"/>
    </font>
    <font>
      <b/>
      <u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b/>
      <sz val="24"/>
      <name val="Arial"/>
      <family val="2"/>
    </font>
    <font>
      <sz val="12"/>
      <name val="Times New Roman"/>
      <family val="1"/>
    </font>
    <font>
      <b/>
      <i/>
      <sz val="12"/>
      <name val="Times New Roman"/>
      <family val="1"/>
    </font>
    <font>
      <sz val="10"/>
      <name val="Times New Roman"/>
      <family val="1"/>
    </font>
    <font>
      <b/>
      <u/>
      <sz val="16"/>
      <name val="Arial MT"/>
    </font>
    <font>
      <b/>
      <sz val="18"/>
      <name val="Times New Roman"/>
      <family val="1"/>
    </font>
    <font>
      <u/>
      <sz val="10"/>
      <name val="Times New Roman"/>
      <family val="1"/>
    </font>
    <font>
      <b/>
      <i/>
      <sz val="10"/>
      <name val="Times New Roman"/>
      <family val="1"/>
    </font>
    <font>
      <b/>
      <i/>
      <sz val="14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4"/>
      <name val="Arial MT"/>
    </font>
    <font>
      <b/>
      <sz val="14"/>
      <color indexed="8"/>
      <name val="Symbol"/>
      <family val="1"/>
      <charset val="2"/>
    </font>
    <font>
      <b/>
      <u/>
      <sz val="14"/>
      <color indexed="8"/>
      <name val="Arial MT"/>
    </font>
    <font>
      <sz val="10"/>
      <name val="Arial"/>
      <family val="2"/>
    </font>
    <font>
      <sz val="10"/>
      <name val="Verdana"/>
      <family val="2"/>
    </font>
    <font>
      <sz val="12"/>
      <color indexed="8"/>
      <name val="Verdana"/>
      <family val="2"/>
    </font>
    <font>
      <b/>
      <sz val="10"/>
      <name val="Arial MT"/>
    </font>
    <font>
      <sz val="10"/>
      <name val="Arial MT"/>
    </font>
    <font>
      <b/>
      <sz val="20"/>
      <name val="Times New Roman"/>
      <family val="1"/>
    </font>
    <font>
      <b/>
      <sz val="14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u/>
      <sz val="10"/>
      <name val="Arial"/>
      <family val="2"/>
    </font>
    <font>
      <b/>
      <u/>
      <sz val="16"/>
      <color rgb="FFFF0000"/>
      <name val="Times New Roman"/>
      <family val="1"/>
    </font>
    <font>
      <sz val="16"/>
      <color rgb="FFFF0000"/>
      <name val="Times New Roman"/>
      <family val="1"/>
    </font>
    <font>
      <b/>
      <sz val="12"/>
      <color theme="1" tint="0.499984740745262"/>
      <name val="Verdana"/>
      <family val="2"/>
    </font>
    <font>
      <b/>
      <sz val="12"/>
      <color rgb="FFFF0000"/>
      <name val="Times New Roman"/>
      <family val="1"/>
    </font>
    <font>
      <sz val="11"/>
      <color indexed="8"/>
      <name val="Arial MT"/>
    </font>
    <font>
      <sz val="11"/>
      <name val="Arial MT"/>
    </font>
    <font>
      <b/>
      <sz val="11"/>
      <color indexed="8"/>
      <name val="Arial MT"/>
    </font>
    <font>
      <b/>
      <u/>
      <sz val="11"/>
      <color indexed="8"/>
      <name val="Arial MT"/>
    </font>
    <font>
      <i/>
      <sz val="11"/>
      <color rgb="FFFF0000"/>
      <name val="Arial MT"/>
    </font>
    <font>
      <b/>
      <sz val="11"/>
      <name val="Arial MT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FF0000"/>
      <name val="Arial MT"/>
    </font>
    <font>
      <b/>
      <sz val="11"/>
      <color rgb="FFFF0000"/>
      <name val="Times New Roman"/>
      <family val="1"/>
    </font>
    <font>
      <sz val="11"/>
      <color theme="1" tint="4.9989318521683403E-2"/>
      <name val="Arial MT"/>
    </font>
    <font>
      <sz val="12"/>
      <color theme="1" tint="4.9989318521683403E-2"/>
      <name val="Arial MT"/>
    </font>
  </fonts>
  <fills count="12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8"/>
      </patternFill>
    </fill>
    <fill>
      <patternFill patternType="gray125">
        <fgColor indexed="8"/>
      </patternFill>
    </fill>
    <fill>
      <patternFill patternType="solid">
        <fgColor theme="6" tint="0.79998168889431442"/>
        <bgColor indexed="64"/>
      </patternFill>
    </fill>
    <fill>
      <patternFill patternType="gray125">
        <fgColor indexed="8"/>
        <bgColor theme="6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43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double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/>
      <right/>
      <top/>
      <bottom style="medium">
        <color theme="1" tint="4.9989318521683403E-2"/>
      </bottom>
      <diagonal/>
    </border>
    <border>
      <left/>
      <right style="medium">
        <color indexed="8"/>
      </right>
      <top/>
      <bottom style="medium">
        <color theme="1" tint="4.9989318521683403E-2"/>
      </bottom>
      <diagonal/>
    </border>
    <border>
      <left style="medium">
        <color theme="1" tint="4.9989318521683403E-2"/>
      </left>
      <right/>
      <top/>
      <bottom/>
      <diagonal/>
    </border>
    <border>
      <left style="medium">
        <color indexed="8"/>
      </left>
      <right style="medium">
        <color theme="1" tint="4.9989318521683403E-2"/>
      </right>
      <top/>
      <bottom style="medium">
        <color indexed="8"/>
      </bottom>
      <diagonal/>
    </border>
    <border>
      <left/>
      <right style="medium">
        <color theme="1" tint="4.9989318521683403E-2"/>
      </right>
      <top/>
      <bottom/>
      <diagonal/>
    </border>
    <border>
      <left style="thick">
        <color theme="1"/>
      </left>
      <right style="thin">
        <color indexed="8"/>
      </right>
      <top style="thick">
        <color theme="1"/>
      </top>
      <bottom/>
      <diagonal/>
    </border>
    <border>
      <left style="thin">
        <color indexed="8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theme="1"/>
      </right>
      <top/>
      <bottom style="thin">
        <color indexed="8"/>
      </bottom>
      <diagonal/>
    </border>
    <border>
      <left style="thick">
        <color theme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ck">
        <color theme="1"/>
      </right>
      <top style="thin">
        <color indexed="8"/>
      </top>
      <bottom style="thin">
        <color indexed="8"/>
      </bottom>
      <diagonal/>
    </border>
    <border>
      <left style="thick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theme="1"/>
      </left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8"/>
      </bottom>
      <diagonal/>
    </border>
    <border>
      <left/>
      <right style="medium">
        <color indexed="64"/>
      </right>
      <top/>
      <bottom style="double">
        <color indexed="8"/>
      </bottom>
      <diagonal/>
    </border>
    <border>
      <left style="medium">
        <color indexed="64"/>
      </left>
      <right/>
      <top style="double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double">
        <color indexed="8"/>
      </top>
      <bottom style="medium">
        <color indexed="8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thin">
        <color indexed="8"/>
      </left>
      <right style="medium">
        <color indexed="64"/>
      </right>
      <top/>
      <bottom style="medium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 tint="4.9989318521683403E-2"/>
      </bottom>
      <diagonal/>
    </border>
    <border>
      <left style="medium">
        <color indexed="8"/>
      </left>
      <right style="medium">
        <color indexed="64"/>
      </right>
      <top/>
      <bottom style="medium">
        <color theme="1" tint="4.9989318521683403E-2"/>
      </bottom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8"/>
      </bottom>
      <diagonal/>
    </border>
    <border>
      <left/>
      <right/>
      <top style="thin">
        <color indexed="64"/>
      </top>
      <bottom style="double">
        <color indexed="8"/>
      </bottom>
      <diagonal/>
    </border>
    <border>
      <left/>
      <right style="thin">
        <color indexed="64"/>
      </right>
      <top style="thin">
        <color indexed="64"/>
      </top>
      <bottom style="double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8"/>
      </top>
      <bottom style="medium">
        <color indexed="8"/>
      </bottom>
      <diagonal/>
    </border>
    <border>
      <left/>
      <right style="thin">
        <color indexed="64"/>
      </right>
      <top style="double">
        <color indexed="8"/>
      </top>
      <bottom style="medium">
        <color indexed="8"/>
      </bottom>
      <diagonal/>
    </border>
    <border>
      <left style="thin">
        <color indexed="64"/>
      </left>
      <right/>
      <top/>
      <bottom style="medium">
        <color indexed="8"/>
      </bottom>
      <diagonal/>
    </border>
    <border>
      <left/>
      <right style="thin">
        <color indexed="64"/>
      </right>
      <top/>
      <bottom style="medium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37" fontId="0" fillId="0" borderId="0" applyBorder="0"/>
    <xf numFmtId="44" fontId="1" fillId="0" borderId="0" applyFont="0" applyFill="0" applyBorder="0" applyAlignment="0" applyProtection="0"/>
    <xf numFmtId="0" fontId="12" fillId="0" borderId="0">
      <alignment horizontal="left" vertical="top" wrapText="1"/>
    </xf>
    <xf numFmtId="0" fontId="13" fillId="0" borderId="0"/>
    <xf numFmtId="0" fontId="12" fillId="0" borderId="0"/>
    <xf numFmtId="0" fontId="12" fillId="0" borderId="0"/>
    <xf numFmtId="0" fontId="12" fillId="0" borderId="0"/>
    <xf numFmtId="166" fontId="14" fillId="2" borderId="0"/>
    <xf numFmtId="9" fontId="1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664">
    <xf numFmtId="37" fontId="0" fillId="0" borderId="0" xfId="0"/>
    <xf numFmtId="37" fontId="2" fillId="0" borderId="0" xfId="0" applyFont="1"/>
    <xf numFmtId="37" fontId="2" fillId="0" borderId="0" xfId="0" applyFont="1" applyAlignment="1">
      <alignment horizontal="centerContinuous"/>
    </xf>
    <xf numFmtId="37" fontId="3" fillId="0" borderId="0" xfId="0" applyFont="1" applyAlignment="1">
      <alignment horizontal="center"/>
    </xf>
    <xf numFmtId="37" fontId="4" fillId="0" borderId="0" xfId="0" applyFont="1" applyAlignment="1">
      <alignment horizontal="centerContinuous"/>
    </xf>
    <xf numFmtId="37" fontId="4" fillId="0" borderId="0" xfId="0" applyFont="1"/>
    <xf numFmtId="37" fontId="4" fillId="0" borderId="0" xfId="0" applyFont="1" applyAlignment="1">
      <alignment horizontal="right"/>
    </xf>
    <xf numFmtId="37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164" fontId="4" fillId="0" borderId="0" xfId="0" applyNumberFormat="1" applyFont="1"/>
    <xf numFmtId="37" fontId="5" fillId="0" borderId="0" xfId="0" applyFont="1"/>
    <xf numFmtId="37" fontId="6" fillId="0" borderId="0" xfId="0" applyFont="1"/>
    <xf numFmtId="37" fontId="6" fillId="0" borderId="1" xfId="0" applyFont="1" applyBorder="1"/>
    <xf numFmtId="37" fontId="6" fillId="0" borderId="1" xfId="0" applyFont="1" applyBorder="1" applyAlignment="1">
      <alignment horizontal="center"/>
    </xf>
    <xf numFmtId="37" fontId="7" fillId="0" borderId="0" xfId="0" applyFont="1"/>
    <xf numFmtId="37" fontId="4" fillId="0" borderId="2" xfId="0" applyFont="1" applyBorder="1"/>
    <xf numFmtId="38" fontId="4" fillId="0" borderId="2" xfId="0" applyNumberFormat="1" applyFont="1" applyBorder="1"/>
    <xf numFmtId="37" fontId="4" fillId="0" borderId="3" xfId="0" applyFont="1" applyBorder="1"/>
    <xf numFmtId="8" fontId="4" fillId="0" borderId="3" xfId="0" applyNumberFormat="1" applyFont="1" applyBorder="1"/>
    <xf numFmtId="8" fontId="4" fillId="0" borderId="4" xfId="0" applyNumberFormat="1" applyFont="1" applyBorder="1"/>
    <xf numFmtId="8" fontId="4" fillId="0" borderId="5" xfId="0" applyNumberFormat="1" applyFont="1" applyBorder="1"/>
    <xf numFmtId="37" fontId="9" fillId="0" borderId="0" xfId="0" applyFont="1" applyAlignment="1">
      <alignment horizontal="center"/>
    </xf>
    <xf numFmtId="37" fontId="10" fillId="0" borderId="2" xfId="0" applyFont="1" applyBorder="1"/>
    <xf numFmtId="38" fontId="4" fillId="0" borderId="3" xfId="0" applyNumberFormat="1" applyFont="1" applyBorder="1"/>
    <xf numFmtId="37" fontId="9" fillId="0" borderId="0" xfId="0" applyFont="1"/>
    <xf numFmtId="37" fontId="4" fillId="0" borderId="6" xfId="0" applyFont="1" applyBorder="1" applyAlignment="1">
      <alignment horizontal="left"/>
    </xf>
    <xf numFmtId="38" fontId="4" fillId="0" borderId="7" xfId="0" applyNumberFormat="1" applyFont="1" applyBorder="1"/>
    <xf numFmtId="37" fontId="4" fillId="0" borderId="7" xfId="0" applyFont="1" applyBorder="1" applyAlignment="1">
      <alignment horizontal="center"/>
    </xf>
    <xf numFmtId="8" fontId="4" fillId="0" borderId="7" xfId="0" applyNumberFormat="1" applyFont="1" applyBorder="1"/>
    <xf numFmtId="8" fontId="4" fillId="0" borderId="8" xfId="0" applyNumberFormat="1" applyFont="1" applyBorder="1"/>
    <xf numFmtId="37" fontId="4" fillId="0" borderId="5" xfId="0" applyFont="1" applyBorder="1"/>
    <xf numFmtId="37" fontId="4" fillId="0" borderId="6" xfId="0" applyFont="1" applyBorder="1"/>
    <xf numFmtId="37" fontId="10" fillId="0" borderId="2" xfId="0" applyFont="1" applyBorder="1" applyAlignment="1">
      <alignment horizontal="left"/>
    </xf>
    <xf numFmtId="37" fontId="9" fillId="0" borderId="9" xfId="0" applyFont="1" applyBorder="1"/>
    <xf numFmtId="37" fontId="4" fillId="0" borderId="10" xfId="0" applyFont="1" applyBorder="1"/>
    <xf numFmtId="38" fontId="4" fillId="0" borderId="10" xfId="0" applyNumberFormat="1" applyFont="1" applyBorder="1"/>
    <xf numFmtId="37" fontId="4" fillId="0" borderId="11" xfId="0" applyFont="1" applyBorder="1" applyAlignment="1">
      <alignment horizontal="center"/>
    </xf>
    <xf numFmtId="8" fontId="4" fillId="0" borderId="11" xfId="0" applyNumberFormat="1" applyFont="1" applyBorder="1"/>
    <xf numFmtId="8" fontId="4" fillId="0" borderId="12" xfId="0" applyNumberFormat="1" applyFont="1" applyBorder="1"/>
    <xf numFmtId="8" fontId="4" fillId="0" borderId="13" xfId="0" applyNumberFormat="1" applyFont="1" applyBorder="1"/>
    <xf numFmtId="8" fontId="4" fillId="0" borderId="0" xfId="0" applyNumberFormat="1" applyFont="1"/>
    <xf numFmtId="37" fontId="4" fillId="0" borderId="14" xfId="0" applyFont="1" applyBorder="1"/>
    <xf numFmtId="38" fontId="4" fillId="0" borderId="11" xfId="0" applyNumberFormat="1" applyFont="1" applyBorder="1"/>
    <xf numFmtId="8" fontId="4" fillId="0" borderId="15" xfId="0" applyNumberFormat="1" applyFont="1" applyBorder="1"/>
    <xf numFmtId="37" fontId="4" fillId="0" borderId="11" xfId="0" applyFont="1" applyBorder="1"/>
    <xf numFmtId="37" fontId="3" fillId="0" borderId="0" xfId="0" applyFont="1"/>
    <xf numFmtId="37" fontId="8" fillId="0" borderId="0" xfId="0" applyFont="1" applyAlignment="1">
      <alignment horizontal="left"/>
    </xf>
    <xf numFmtId="166" fontId="14" fillId="2" borderId="0" xfId="7"/>
    <xf numFmtId="37" fontId="15" fillId="0" borderId="0" xfId="0" applyFont="1" applyBorder="1" applyAlignment="1">
      <alignment horizontal="center"/>
    </xf>
    <xf numFmtId="0" fontId="12" fillId="0" borderId="0" xfId="2">
      <alignment horizontal="left" vertical="top" wrapText="1"/>
    </xf>
    <xf numFmtId="0" fontId="20" fillId="0" borderId="0" xfId="2" applyFont="1">
      <alignment horizontal="left" vertical="top" wrapText="1"/>
    </xf>
    <xf numFmtId="0" fontId="12" fillId="0" borderId="0" xfId="2" applyAlignment="1">
      <alignment wrapText="1"/>
    </xf>
    <xf numFmtId="0" fontId="21" fillId="0" borderId="0" xfId="3" applyFont="1"/>
    <xf numFmtId="0" fontId="22" fillId="0" borderId="0" xfId="3" applyFont="1"/>
    <xf numFmtId="0" fontId="13" fillId="0" borderId="0" xfId="3"/>
    <xf numFmtId="37" fontId="3" fillId="0" borderId="16" xfId="0" applyFont="1" applyBorder="1" applyAlignment="1">
      <alignment horizontal="left"/>
    </xf>
    <xf numFmtId="0" fontId="23" fillId="0" borderId="17" xfId="3" applyFont="1" applyBorder="1"/>
    <xf numFmtId="0" fontId="13" fillId="0" borderId="17" xfId="3" applyBorder="1"/>
    <xf numFmtId="0" fontId="23" fillId="4" borderId="0" xfId="3" applyFont="1" applyFill="1"/>
    <xf numFmtId="0" fontId="23" fillId="0" borderId="19" xfId="3" applyFont="1" applyBorder="1"/>
    <xf numFmtId="37" fontId="4" fillId="0" borderId="5" xfId="0" applyFont="1" applyBorder="1" applyAlignment="1">
      <alignment horizontal="left"/>
    </xf>
    <xf numFmtId="0" fontId="23" fillId="0" borderId="0" xfId="3" applyFont="1"/>
    <xf numFmtId="0" fontId="23" fillId="0" borderId="0" xfId="3" applyFont="1" applyAlignment="1">
      <alignment horizontal="centerContinuous"/>
    </xf>
    <xf numFmtId="0" fontId="13" fillId="0" borderId="20" xfId="3" applyBorder="1"/>
    <xf numFmtId="0" fontId="25" fillId="0" borderId="19" xfId="3" applyFont="1" applyBorder="1"/>
    <xf numFmtId="0" fontId="23" fillId="0" borderId="19" xfId="3" applyFont="1" applyBorder="1" applyAlignment="1">
      <alignment horizontal="centerContinuous"/>
    </xf>
    <xf numFmtId="0" fontId="23" fillId="0" borderId="21" xfId="3" applyFont="1" applyBorder="1"/>
    <xf numFmtId="0" fontId="23" fillId="0" borderId="7" xfId="3" applyFont="1" applyBorder="1" applyAlignment="1">
      <alignment horizontal="center"/>
    </xf>
    <xf numFmtId="0" fontId="25" fillId="4" borderId="0" xfId="3" applyFont="1" applyFill="1"/>
    <xf numFmtId="0" fontId="23" fillId="0" borderId="22" xfId="3" applyFont="1" applyBorder="1" applyAlignment="1">
      <alignment horizontal="center"/>
    </xf>
    <xf numFmtId="5" fontId="25" fillId="0" borderId="22" xfId="3" applyNumberFormat="1" applyFont="1" applyBorder="1"/>
    <xf numFmtId="167" fontId="25" fillId="0" borderId="22" xfId="3" applyNumberFormat="1" applyFont="1" applyBorder="1" applyAlignment="1">
      <alignment horizontal="centerContinuous"/>
    </xf>
    <xf numFmtId="167" fontId="25" fillId="0" borderId="22" xfId="3" applyNumberFormat="1" applyFont="1" applyBorder="1"/>
    <xf numFmtId="5" fontId="25" fillId="4" borderId="0" xfId="3" applyNumberFormat="1" applyFont="1" applyFill="1"/>
    <xf numFmtId="5" fontId="23" fillId="0" borderId="22" xfId="3" applyNumberFormat="1" applyFont="1" applyBorder="1"/>
    <xf numFmtId="0" fontId="25" fillId="0" borderId="20" xfId="3" applyFont="1" applyBorder="1"/>
    <xf numFmtId="5" fontId="25" fillId="0" borderId="20" xfId="3" applyNumberFormat="1" applyFont="1" applyBorder="1"/>
    <xf numFmtId="0" fontId="25" fillId="4" borderId="9" xfId="3" applyFont="1" applyFill="1" applyBorder="1"/>
    <xf numFmtId="5" fontId="25" fillId="4" borderId="9" xfId="3" applyNumberFormat="1" applyFont="1" applyFill="1" applyBorder="1"/>
    <xf numFmtId="37" fontId="0" fillId="0" borderId="0" xfId="0" applyBorder="1"/>
    <xf numFmtId="0" fontId="12" fillId="0" borderId="0" xfId="6"/>
    <xf numFmtId="0" fontId="27" fillId="0" borderId="24" xfId="6" applyFont="1" applyBorder="1"/>
    <xf numFmtId="0" fontId="27" fillId="0" borderId="0" xfId="6" applyFont="1"/>
    <xf numFmtId="0" fontId="27" fillId="0" borderId="0" xfId="6" applyFont="1" applyAlignment="1">
      <alignment horizontal="center"/>
    </xf>
    <xf numFmtId="0" fontId="27" fillId="0" borderId="25" xfId="6" applyFont="1" applyBorder="1"/>
    <xf numFmtId="37" fontId="25" fillId="0" borderId="26" xfId="0" applyFont="1" applyBorder="1"/>
    <xf numFmtId="0" fontId="27" fillId="0" borderId="26" xfId="6" applyFont="1" applyBorder="1"/>
    <xf numFmtId="0" fontId="30" fillId="0" borderId="25" xfId="6" applyFont="1" applyBorder="1"/>
    <xf numFmtId="0" fontId="27" fillId="0" borderId="27" xfId="6" applyFont="1" applyBorder="1"/>
    <xf numFmtId="37" fontId="25" fillId="0" borderId="28" xfId="0" applyFont="1" applyBorder="1"/>
    <xf numFmtId="0" fontId="30" fillId="0" borderId="29" xfId="6" applyFont="1" applyBorder="1"/>
    <xf numFmtId="0" fontId="22" fillId="0" borderId="0" xfId="5" applyFont="1" applyAlignment="1">
      <alignment horizontal="right"/>
    </xf>
    <xf numFmtId="0" fontId="30" fillId="0" borderId="30" xfId="6" applyFont="1" applyBorder="1"/>
    <xf numFmtId="0" fontId="27" fillId="0" borderId="31" xfId="6" applyFont="1" applyBorder="1"/>
    <xf numFmtId="0" fontId="27" fillId="0" borderId="32" xfId="6" applyFont="1" applyBorder="1"/>
    <xf numFmtId="0" fontId="27" fillId="0" borderId="30" xfId="6" applyFont="1" applyBorder="1"/>
    <xf numFmtId="37" fontId="25" fillId="0" borderId="0" xfId="0" applyFont="1" applyBorder="1"/>
    <xf numFmtId="0" fontId="27" fillId="0" borderId="28" xfId="6" applyFont="1" applyBorder="1"/>
    <xf numFmtId="9" fontId="27" fillId="0" borderId="33" xfId="8" applyFont="1" applyBorder="1" applyAlignment="1">
      <alignment horizontal="left"/>
    </xf>
    <xf numFmtId="0" fontId="27" fillId="0" borderId="34" xfId="6" applyFont="1" applyBorder="1"/>
    <xf numFmtId="37" fontId="25" fillId="0" borderId="35" xfId="0" applyFont="1" applyBorder="1"/>
    <xf numFmtId="0" fontId="27" fillId="0" borderId="35" xfId="6" applyFont="1" applyBorder="1"/>
    <xf numFmtId="0" fontId="27" fillId="0" borderId="36" xfId="6" applyFont="1" applyBorder="1"/>
    <xf numFmtId="0" fontId="27" fillId="0" borderId="37" xfId="6" applyFont="1" applyBorder="1"/>
    <xf numFmtId="0" fontId="27" fillId="0" borderId="38" xfId="6" applyFont="1" applyBorder="1"/>
    <xf numFmtId="0" fontId="27" fillId="0" borderId="39" xfId="6" applyFont="1" applyBorder="1"/>
    <xf numFmtId="37" fontId="25" fillId="0" borderId="0" xfId="0" applyFont="1"/>
    <xf numFmtId="0" fontId="27" fillId="0" borderId="40" xfId="6" applyFont="1" applyBorder="1"/>
    <xf numFmtId="0" fontId="27" fillId="0" borderId="41" xfId="6" applyFont="1" applyBorder="1"/>
    <xf numFmtId="0" fontId="31" fillId="0" borderId="30" xfId="6" applyFont="1" applyBorder="1" applyAlignment="1">
      <alignment horizontal="right"/>
    </xf>
    <xf numFmtId="0" fontId="12" fillId="0" borderId="0" xfId="5"/>
    <xf numFmtId="0" fontId="33" fillId="0" borderId="42" xfId="5" applyFont="1" applyBorder="1"/>
    <xf numFmtId="0" fontId="34" fillId="0" borderId="42" xfId="5" applyFont="1" applyBorder="1"/>
    <xf numFmtId="0" fontId="12" fillId="0" borderId="42" xfId="5" applyBorder="1"/>
    <xf numFmtId="44" fontId="12" fillId="0" borderId="28" xfId="5" applyNumberFormat="1" applyBorder="1"/>
    <xf numFmtId="0" fontId="37" fillId="0" borderId="0" xfId="6" applyFont="1" applyAlignment="1">
      <alignment horizontal="right"/>
    </xf>
    <xf numFmtId="37" fontId="25" fillId="0" borderId="0" xfId="0" applyFont="1" applyBorder="1" applyAlignment="1">
      <alignment horizontal="right"/>
    </xf>
    <xf numFmtId="0" fontId="27" fillId="0" borderId="35" xfId="6" applyFont="1" applyBorder="1" applyAlignment="1">
      <alignment horizontal="right"/>
    </xf>
    <xf numFmtId="0" fontId="31" fillId="0" borderId="32" xfId="6" applyFont="1" applyBorder="1" applyAlignment="1">
      <alignment horizontal="right"/>
    </xf>
    <xf numFmtId="37" fontId="25" fillId="0" borderId="42" xfId="0" applyFont="1" applyBorder="1"/>
    <xf numFmtId="37" fontId="25" fillId="0" borderId="43" xfId="0" applyFont="1" applyBorder="1"/>
    <xf numFmtId="0" fontId="37" fillId="0" borderId="30" xfId="6" applyFont="1" applyBorder="1" applyAlignment="1">
      <alignment horizontal="right"/>
    </xf>
    <xf numFmtId="0" fontId="37" fillId="0" borderId="30" xfId="6" applyFont="1" applyBorder="1"/>
    <xf numFmtId="0" fontId="27" fillId="0" borderId="44" xfId="6" applyFont="1" applyBorder="1"/>
    <xf numFmtId="0" fontId="27" fillId="0" borderId="42" xfId="6" applyFont="1" applyBorder="1"/>
    <xf numFmtId="37" fontId="23" fillId="0" borderId="0" xfId="0" applyFont="1"/>
    <xf numFmtId="0" fontId="23" fillId="0" borderId="46" xfId="3" applyFont="1" applyBorder="1"/>
    <xf numFmtId="0" fontId="25" fillId="0" borderId="46" xfId="3" applyFont="1" applyBorder="1"/>
    <xf numFmtId="0" fontId="25" fillId="0" borderId="6" xfId="3" applyFont="1" applyBorder="1"/>
    <xf numFmtId="5" fontId="25" fillId="0" borderId="6" xfId="3" applyNumberFormat="1" applyFont="1" applyBorder="1"/>
    <xf numFmtId="37" fontId="9" fillId="0" borderId="0" xfId="0" applyFont="1" applyAlignment="1">
      <alignment horizontal="center" wrapText="1"/>
    </xf>
    <xf numFmtId="37" fontId="6" fillId="0" borderId="0" xfId="0" applyFont="1" applyAlignment="1">
      <alignment horizontal="center"/>
    </xf>
    <xf numFmtId="166" fontId="7" fillId="2" borderId="47" xfId="7" applyFont="1" applyBorder="1" applyAlignment="1">
      <alignment horizontal="center"/>
    </xf>
    <xf numFmtId="22" fontId="0" fillId="0" borderId="0" xfId="0" applyNumberFormat="1"/>
    <xf numFmtId="37" fontId="16" fillId="0" borderId="0" xfId="0" applyFont="1"/>
    <xf numFmtId="0" fontId="16" fillId="0" borderId="0" xfId="0" applyNumberFormat="1" applyFont="1"/>
    <xf numFmtId="0" fontId="0" fillId="0" borderId="0" xfId="0" applyNumberFormat="1"/>
    <xf numFmtId="172" fontId="0" fillId="0" borderId="0" xfId="0" applyNumberFormat="1"/>
    <xf numFmtId="49" fontId="4" fillId="0" borderId="0" xfId="0" applyNumberFormat="1" applyFont="1" applyAlignment="1">
      <alignment horizontal="left"/>
    </xf>
    <xf numFmtId="37" fontId="23" fillId="0" borderId="22" xfId="3" applyNumberFormat="1" applyFont="1" applyBorder="1" applyAlignment="1">
      <alignment horizontal="center"/>
    </xf>
    <xf numFmtId="0" fontId="12" fillId="0" borderId="0" xfId="2" applyAlignment="1">
      <alignment vertical="top" wrapText="1"/>
    </xf>
    <xf numFmtId="0" fontId="42" fillId="0" borderId="0" xfId="2" applyFont="1" applyAlignment="1">
      <alignment vertical="top" wrapText="1"/>
    </xf>
    <xf numFmtId="37" fontId="4" fillId="0" borderId="0" xfId="0" applyFont="1" applyAlignment="1">
      <alignment horizontal="center" wrapText="1"/>
    </xf>
    <xf numFmtId="37" fontId="12" fillId="0" borderId="0" xfId="2" applyNumberFormat="1">
      <alignment horizontal="left" vertical="top" wrapText="1"/>
    </xf>
    <xf numFmtId="173" fontId="25" fillId="0" borderId="43" xfId="0" applyNumberFormat="1" applyFont="1" applyBorder="1"/>
    <xf numFmtId="169" fontId="27" fillId="0" borderId="33" xfId="6" applyNumberFormat="1" applyFont="1" applyBorder="1" applyAlignment="1">
      <alignment horizontal="center"/>
    </xf>
    <xf numFmtId="169" fontId="27" fillId="0" borderId="49" xfId="6" applyNumberFormat="1" applyFont="1" applyBorder="1" applyAlignment="1">
      <alignment horizontal="center"/>
    </xf>
    <xf numFmtId="174" fontId="4" fillId="0" borderId="0" xfId="0" applyNumberFormat="1" applyFont="1" applyAlignment="1">
      <alignment horizontal="left"/>
    </xf>
    <xf numFmtId="1" fontId="16" fillId="0" borderId="0" xfId="0" applyNumberFormat="1" applyFont="1"/>
    <xf numFmtId="1" fontId="0" fillId="0" borderId="0" xfId="0" applyNumberFormat="1"/>
    <xf numFmtId="0" fontId="12" fillId="0" borderId="0" xfId="2" applyAlignment="1">
      <alignment horizontal="center" vertical="top" wrapText="1"/>
    </xf>
    <xf numFmtId="0" fontId="12" fillId="0" borderId="0" xfId="2" applyAlignment="1">
      <alignment horizontal="center" vertical="top"/>
    </xf>
    <xf numFmtId="0" fontId="20" fillId="0" borderId="0" xfId="2" applyFont="1" applyAlignment="1">
      <alignment horizontal="center" vertical="top"/>
    </xf>
    <xf numFmtId="0" fontId="43" fillId="0" borderId="0" xfId="2" applyFont="1" applyProtection="1">
      <alignment horizontal="left" vertical="top" wrapText="1"/>
      <protection locked="0"/>
    </xf>
    <xf numFmtId="166" fontId="44" fillId="0" borderId="0" xfId="0" applyNumberFormat="1" applyFont="1" applyAlignment="1" applyProtection="1">
      <alignment horizontal="right"/>
      <protection locked="0"/>
    </xf>
    <xf numFmtId="49" fontId="44" fillId="0" borderId="0" xfId="0" applyNumberFormat="1" applyFont="1" applyAlignment="1" applyProtection="1">
      <alignment horizontal="left"/>
      <protection locked="0"/>
    </xf>
    <xf numFmtId="164" fontId="44" fillId="0" borderId="0" xfId="0" applyNumberFormat="1" applyFont="1" applyAlignment="1" applyProtection="1">
      <alignment horizontal="left"/>
      <protection locked="0"/>
    </xf>
    <xf numFmtId="15" fontId="44" fillId="0" borderId="0" xfId="0" applyNumberFormat="1" applyFont="1" applyAlignment="1" applyProtection="1">
      <alignment horizontal="right"/>
      <protection locked="0"/>
    </xf>
    <xf numFmtId="37" fontId="44" fillId="0" borderId="0" xfId="0" applyFont="1" applyAlignment="1" applyProtection="1">
      <alignment horizontal="left"/>
      <protection locked="0"/>
    </xf>
    <xf numFmtId="0" fontId="43" fillId="0" borderId="0" xfId="2" applyFont="1" applyAlignment="1" applyProtection="1">
      <alignment horizontal="left" vertical="center" wrapText="1"/>
      <protection locked="0"/>
    </xf>
    <xf numFmtId="37" fontId="0" fillId="0" borderId="24" xfId="0" applyBorder="1"/>
    <xf numFmtId="37" fontId="0" fillId="0" borderId="50" xfId="0" applyBorder="1"/>
    <xf numFmtId="37" fontId="0" fillId="0" borderId="51" xfId="0" applyBorder="1"/>
    <xf numFmtId="37" fontId="8" fillId="0" borderId="0" xfId="0" applyFont="1" applyBorder="1"/>
    <xf numFmtId="37" fontId="9" fillId="0" borderId="0" xfId="0" applyFont="1" applyBorder="1" applyAlignment="1">
      <alignment horizontal="center"/>
    </xf>
    <xf numFmtId="171" fontId="19" fillId="0" borderId="91" xfId="0" applyNumberFormat="1" applyFont="1" applyBorder="1"/>
    <xf numFmtId="37" fontId="9" fillId="0" borderId="0" xfId="0" applyFont="1" applyBorder="1"/>
    <xf numFmtId="37" fontId="9" fillId="0" borderId="9" xfId="0" applyFont="1" applyBorder="1" applyAlignment="1">
      <alignment horizontal="center"/>
    </xf>
    <xf numFmtId="37" fontId="8" fillId="0" borderId="9" xfId="0" applyFont="1" applyBorder="1"/>
    <xf numFmtId="37" fontId="8" fillId="0" borderId="0" xfId="0" applyFont="1" applyBorder="1" applyAlignment="1">
      <alignment horizontal="left"/>
    </xf>
    <xf numFmtId="37" fontId="11" fillId="0" borderId="0" xfId="0" applyFont="1" applyBorder="1"/>
    <xf numFmtId="37" fontId="28" fillId="0" borderId="0" xfId="0" applyFont="1" applyBorder="1"/>
    <xf numFmtId="37" fontId="0" fillId="0" borderId="0" xfId="0" applyBorder="1" applyAlignment="1">
      <alignment vertical="center" wrapText="1"/>
    </xf>
    <xf numFmtId="37" fontId="9" fillId="0" borderId="10" xfId="0" applyFont="1" applyBorder="1" applyAlignment="1">
      <alignment horizontal="right" vertical="center" wrapText="1"/>
    </xf>
    <xf numFmtId="37" fontId="0" fillId="0" borderId="53" xfId="0" applyBorder="1" applyAlignment="1">
      <alignment vertical="center" wrapText="1"/>
    </xf>
    <xf numFmtId="165" fontId="4" fillId="0" borderId="10" xfId="0" applyNumberFormat="1" applyFont="1" applyBorder="1" applyAlignment="1">
      <alignment vertical="center" wrapText="1"/>
    </xf>
    <xf numFmtId="37" fontId="4" fillId="0" borderId="0" xfId="0" applyFont="1" applyBorder="1"/>
    <xf numFmtId="37" fontId="4" fillId="0" borderId="0" xfId="0" applyFont="1" applyBorder="1" applyAlignment="1">
      <alignment vertical="center" wrapText="1"/>
    </xf>
    <xf numFmtId="37" fontId="0" fillId="0" borderId="0" xfId="0" applyAlignment="1">
      <alignment vertical="center" wrapText="1"/>
    </xf>
    <xf numFmtId="37" fontId="0" fillId="0" borderId="0" xfId="0" applyAlignment="1">
      <alignment wrapText="1"/>
    </xf>
    <xf numFmtId="37" fontId="1" fillId="0" borderId="42" xfId="0" applyFont="1" applyBorder="1"/>
    <xf numFmtId="37" fontId="1" fillId="0" borderId="43" xfId="0" applyFont="1" applyBorder="1"/>
    <xf numFmtId="37" fontId="1" fillId="0" borderId="42" xfId="0" applyFont="1" applyBorder="1" applyAlignment="1">
      <alignment wrapText="1"/>
    </xf>
    <xf numFmtId="173" fontId="1" fillId="0" borderId="43" xfId="0" applyNumberFormat="1" applyFont="1" applyBorder="1"/>
    <xf numFmtId="0" fontId="12" fillId="0" borderId="0" xfId="5" applyAlignment="1">
      <alignment horizontal="center"/>
    </xf>
    <xf numFmtId="0" fontId="12" fillId="0" borderId="54" xfId="5" applyBorder="1"/>
    <xf numFmtId="0" fontId="35" fillId="0" borderId="55" xfId="5" applyFont="1" applyBorder="1" applyAlignment="1">
      <alignment horizontal="center"/>
    </xf>
    <xf numFmtId="0" fontId="12" fillId="0" borderId="55" xfId="5" applyBorder="1"/>
    <xf numFmtId="0" fontId="12" fillId="0" borderId="56" xfId="5" applyBorder="1"/>
    <xf numFmtId="0" fontId="12" fillId="0" borderId="56" xfId="5" applyBorder="1" applyAlignment="1">
      <alignment horizontal="center"/>
    </xf>
    <xf numFmtId="0" fontId="12" fillId="0" borderId="55" xfId="5" applyBorder="1" applyAlignment="1">
      <alignment horizontal="center"/>
    </xf>
    <xf numFmtId="44" fontId="12" fillId="0" borderId="57" xfId="1" applyFont="1" applyBorder="1"/>
    <xf numFmtId="0" fontId="36" fillId="0" borderId="55" xfId="5" applyFont="1" applyBorder="1" applyAlignment="1">
      <alignment horizontal="center"/>
    </xf>
    <xf numFmtId="0" fontId="12" fillId="0" borderId="58" xfId="5" applyBorder="1"/>
    <xf numFmtId="0" fontId="35" fillId="0" borderId="59" xfId="5" applyFont="1" applyBorder="1" applyAlignment="1">
      <alignment horizontal="center"/>
    </xf>
    <xf numFmtId="0" fontId="12" fillId="0" borderId="59" xfId="5" applyBorder="1"/>
    <xf numFmtId="0" fontId="12" fillId="0" borderId="54" xfId="5" applyBorder="1" applyAlignment="1">
      <alignment horizontal="center"/>
    </xf>
    <xf numFmtId="170" fontId="27" fillId="0" borderId="33" xfId="8" applyNumberFormat="1" applyFont="1" applyBorder="1" applyAlignment="1">
      <alignment horizontal="left"/>
    </xf>
    <xf numFmtId="37" fontId="34" fillId="0" borderId="42" xfId="5" applyNumberFormat="1" applyFont="1" applyBorder="1"/>
    <xf numFmtId="44" fontId="12" fillId="0" borderId="60" xfId="5" applyNumberFormat="1" applyBorder="1"/>
    <xf numFmtId="0" fontId="35" fillId="0" borderId="61" xfId="5" applyFont="1" applyBorder="1" applyAlignment="1">
      <alignment horizontal="right"/>
    </xf>
    <xf numFmtId="44" fontId="12" fillId="0" borderId="62" xfId="5" applyNumberFormat="1" applyBorder="1"/>
    <xf numFmtId="0" fontId="35" fillId="0" borderId="56" xfId="5" applyFont="1" applyBorder="1" applyAlignment="1">
      <alignment horizontal="right"/>
    </xf>
    <xf numFmtId="44" fontId="12" fillId="0" borderId="57" xfId="5" applyNumberFormat="1" applyBorder="1"/>
    <xf numFmtId="0" fontId="12" fillId="0" borderId="56" xfId="5" applyBorder="1" applyAlignment="1">
      <alignment horizontal="right"/>
    </xf>
    <xf numFmtId="0" fontId="35" fillId="0" borderId="58" xfId="5" applyFont="1" applyBorder="1" applyAlignment="1">
      <alignment horizontal="right"/>
    </xf>
    <xf numFmtId="44" fontId="12" fillId="0" borderId="63" xfId="5" applyNumberFormat="1" applyBorder="1"/>
    <xf numFmtId="44" fontId="12" fillId="0" borderId="59" xfId="1" applyFont="1" applyBorder="1"/>
    <xf numFmtId="44" fontId="12" fillId="0" borderId="55" xfId="1" applyFont="1" applyBorder="1" applyAlignment="1">
      <alignment horizontal="center"/>
    </xf>
    <xf numFmtId="44" fontId="36" fillId="0" borderId="55" xfId="1" applyFont="1" applyBorder="1" applyAlignment="1">
      <alignment horizontal="center"/>
    </xf>
    <xf numFmtId="44" fontId="12" fillId="0" borderId="59" xfId="1" applyFont="1" applyBorder="1" applyAlignment="1">
      <alignment horizontal="center"/>
    </xf>
    <xf numFmtId="44" fontId="12" fillId="0" borderId="54" xfId="1" applyFont="1" applyBorder="1" applyAlignment="1">
      <alignment horizontal="center"/>
    </xf>
    <xf numFmtId="0" fontId="12" fillId="0" borderId="64" xfId="5" applyBorder="1" applyAlignment="1">
      <alignment horizontal="center"/>
    </xf>
    <xf numFmtId="44" fontId="12" fillId="0" borderId="0" xfId="1" applyFont="1"/>
    <xf numFmtId="37" fontId="0" fillId="0" borderId="0" xfId="0" applyAlignment="1">
      <alignment horizontal="center"/>
    </xf>
    <xf numFmtId="37" fontId="45" fillId="0" borderId="65" xfId="0" applyFont="1" applyBorder="1" applyAlignment="1">
      <alignment horizontal="center"/>
    </xf>
    <xf numFmtId="37" fontId="45" fillId="0" borderId="66" xfId="0" applyFont="1" applyBorder="1"/>
    <xf numFmtId="37" fontId="45" fillId="0" borderId="66" xfId="0" applyFont="1" applyBorder="1" applyAlignment="1">
      <alignment horizontal="center"/>
    </xf>
    <xf numFmtId="37" fontId="45" fillId="0" borderId="67" xfId="0" applyFont="1" applyBorder="1" applyAlignment="1">
      <alignment horizontal="center"/>
    </xf>
    <xf numFmtId="37" fontId="46" fillId="0" borderId="68" xfId="0" applyFont="1" applyBorder="1" applyAlignment="1">
      <alignment horizontal="center"/>
    </xf>
    <xf numFmtId="37" fontId="46" fillId="0" borderId="68" xfId="0" applyFont="1" applyBorder="1"/>
    <xf numFmtId="37" fontId="46" fillId="0" borderId="69" xfId="0" applyFont="1" applyBorder="1" applyAlignment="1">
      <alignment horizontal="center"/>
    </xf>
    <xf numFmtId="37" fontId="46" fillId="0" borderId="69" xfId="0" applyFont="1" applyBorder="1"/>
    <xf numFmtId="0" fontId="25" fillId="0" borderId="26" xfId="6" applyFont="1" applyBorder="1" applyAlignment="1">
      <alignment horizontal="center"/>
    </xf>
    <xf numFmtId="0" fontId="29" fillId="0" borderId="0" xfId="6" applyFont="1" applyAlignment="1">
      <alignment horizontal="center"/>
    </xf>
    <xf numFmtId="0" fontId="47" fillId="0" borderId="31" xfId="6" applyFont="1" applyBorder="1"/>
    <xf numFmtId="37" fontId="47" fillId="0" borderId="0" xfId="6" applyNumberFormat="1" applyFont="1" applyAlignment="1">
      <alignment horizontal="center"/>
    </xf>
    <xf numFmtId="0" fontId="23" fillId="0" borderId="70" xfId="3" applyFont="1" applyBorder="1" applyAlignment="1">
      <alignment horizontal="center"/>
    </xf>
    <xf numFmtId="0" fontId="23" fillId="0" borderId="6" xfId="3" applyFont="1" applyBorder="1" applyAlignment="1">
      <alignment horizontal="center"/>
    </xf>
    <xf numFmtId="5" fontId="25" fillId="0" borderId="46" xfId="3" applyNumberFormat="1" applyFont="1" applyBorder="1"/>
    <xf numFmtId="0" fontId="23" fillId="0" borderId="94" xfId="3" applyFont="1" applyBorder="1"/>
    <xf numFmtId="0" fontId="23" fillId="0" borderId="95" xfId="3" applyFont="1" applyBorder="1"/>
    <xf numFmtId="0" fontId="23" fillId="0" borderId="96" xfId="3" applyFont="1" applyBorder="1" applyAlignment="1">
      <alignment horizontal="center"/>
    </xf>
    <xf numFmtId="0" fontId="23" fillId="0" borderId="97" xfId="3" applyFont="1" applyBorder="1" applyAlignment="1">
      <alignment horizontal="center"/>
    </xf>
    <xf numFmtId="0" fontId="23" fillId="0" borderId="98" xfId="3" applyFont="1" applyBorder="1" applyAlignment="1">
      <alignment horizontal="center"/>
    </xf>
    <xf numFmtId="0" fontId="23" fillId="0" borderId="99" xfId="3" applyFont="1" applyBorder="1" applyAlignment="1">
      <alignment horizontal="left"/>
    </xf>
    <xf numFmtId="0" fontId="23" fillId="0" borderId="100" xfId="3" applyFont="1" applyBorder="1" applyAlignment="1">
      <alignment horizontal="center"/>
    </xf>
    <xf numFmtId="0" fontId="1" fillId="0" borderId="70" xfId="3" applyFont="1" applyBorder="1" applyAlignment="1">
      <alignment horizontal="center"/>
    </xf>
    <xf numFmtId="0" fontId="1" fillId="0" borderId="6" xfId="3" applyFont="1" applyBorder="1" applyAlignment="1">
      <alignment horizontal="center"/>
    </xf>
    <xf numFmtId="167" fontId="1" fillId="0" borderId="22" xfId="3" applyNumberFormat="1" applyFont="1" applyBorder="1" applyAlignment="1">
      <alignment horizontal="centerContinuous"/>
    </xf>
    <xf numFmtId="0" fontId="12" fillId="0" borderId="0" xfId="4"/>
    <xf numFmtId="168" fontId="12" fillId="0" borderId="0" xfId="4" applyNumberFormat="1"/>
    <xf numFmtId="0" fontId="43" fillId="0" borderId="0" xfId="4" applyFont="1"/>
    <xf numFmtId="0" fontId="49" fillId="0" borderId="0" xfId="4" applyFont="1"/>
    <xf numFmtId="0" fontId="49" fillId="0" borderId="0" xfId="4" applyFont="1" applyAlignment="1">
      <alignment horizontal="right"/>
    </xf>
    <xf numFmtId="0" fontId="49" fillId="0" borderId="0" xfId="4" applyFont="1" applyAlignment="1">
      <alignment horizontal="left"/>
    </xf>
    <xf numFmtId="0" fontId="50" fillId="0" borderId="0" xfId="4" applyFont="1"/>
    <xf numFmtId="0" fontId="50" fillId="0" borderId="0" xfId="4" applyFont="1" applyAlignment="1">
      <alignment horizontal="right"/>
    </xf>
    <xf numFmtId="168" fontId="35" fillId="0" borderId="0" xfId="4" applyNumberFormat="1" applyFont="1"/>
    <xf numFmtId="0" fontId="51" fillId="0" borderId="0" xfId="4" applyFont="1"/>
    <xf numFmtId="168" fontId="50" fillId="0" borderId="0" xfId="4" applyNumberFormat="1" applyFont="1"/>
    <xf numFmtId="168" fontId="43" fillId="0" borderId="0" xfId="4" applyNumberFormat="1" applyFont="1"/>
    <xf numFmtId="37" fontId="49" fillId="0" borderId="0" xfId="4" applyNumberFormat="1" applyFont="1"/>
    <xf numFmtId="37" fontId="49" fillId="0" borderId="0" xfId="4" applyNumberFormat="1" applyFont="1" applyAlignment="1">
      <alignment horizontal="left"/>
    </xf>
    <xf numFmtId="0" fontId="27" fillId="0" borderId="55" xfId="6" applyFont="1" applyBorder="1"/>
    <xf numFmtId="0" fontId="37" fillId="0" borderId="55" xfId="6" applyFont="1" applyBorder="1" applyAlignment="1">
      <alignment horizontal="right"/>
    </xf>
    <xf numFmtId="37" fontId="9" fillId="0" borderId="0" xfId="0" applyFont="1" applyAlignment="1">
      <alignment horizontal="center" vertical="center"/>
    </xf>
    <xf numFmtId="37" fontId="0" fillId="0" borderId="55" xfId="0" applyBorder="1" applyAlignment="1">
      <alignment horizontal="center"/>
    </xf>
    <xf numFmtId="0" fontId="37" fillId="0" borderId="26" xfId="6" applyFont="1" applyBorder="1" applyAlignment="1">
      <alignment horizontal="left"/>
    </xf>
    <xf numFmtId="0" fontId="53" fillId="0" borderId="30" xfId="6" applyFont="1" applyBorder="1"/>
    <xf numFmtId="0" fontId="12" fillId="0" borderId="27" xfId="6" applyBorder="1"/>
    <xf numFmtId="0" fontId="12" fillId="0" borderId="30" xfId="6" applyBorder="1"/>
    <xf numFmtId="0" fontId="12" fillId="0" borderId="34" xfId="6" applyBorder="1"/>
    <xf numFmtId="0" fontId="12" fillId="0" borderId="36" xfId="6" applyBorder="1"/>
    <xf numFmtId="0" fontId="12" fillId="0" borderId="33" xfId="6" applyBorder="1"/>
    <xf numFmtId="0" fontId="12" fillId="0" borderId="71" xfId="6" applyBorder="1"/>
    <xf numFmtId="0" fontId="35" fillId="0" borderId="25" xfId="6" applyFont="1" applyBorder="1"/>
    <xf numFmtId="0" fontId="52" fillId="0" borderId="71" xfId="6" applyFont="1" applyBorder="1"/>
    <xf numFmtId="0" fontId="27" fillId="0" borderId="72" xfId="6" applyFont="1" applyBorder="1"/>
    <xf numFmtId="0" fontId="37" fillId="0" borderId="72" xfId="6" applyFont="1" applyBorder="1" applyAlignment="1">
      <alignment horizontal="right"/>
    </xf>
    <xf numFmtId="37" fontId="48" fillId="0" borderId="73" xfId="0" applyFont="1" applyBorder="1"/>
    <xf numFmtId="0" fontId="27" fillId="0" borderId="64" xfId="6" applyFont="1" applyBorder="1"/>
    <xf numFmtId="0" fontId="48" fillId="0" borderId="64" xfId="6" applyFont="1" applyBorder="1"/>
    <xf numFmtId="0" fontId="48" fillId="0" borderId="74" xfId="6" applyFont="1" applyBorder="1"/>
    <xf numFmtId="37" fontId="48" fillId="0" borderId="75" xfId="0" applyFont="1" applyBorder="1" applyAlignment="1">
      <alignment horizontal="left"/>
    </xf>
    <xf numFmtId="0" fontId="37" fillId="0" borderId="76" xfId="6" applyFont="1" applyBorder="1" applyAlignment="1">
      <alignment horizontal="right"/>
    </xf>
    <xf numFmtId="37" fontId="48" fillId="0" borderId="56" xfId="0" applyFont="1" applyBorder="1" applyAlignment="1">
      <alignment horizontal="left"/>
    </xf>
    <xf numFmtId="0" fontId="37" fillId="0" borderId="57" xfId="6" applyFont="1" applyBorder="1" applyAlignment="1">
      <alignment horizontal="right"/>
    </xf>
    <xf numFmtId="0" fontId="22" fillId="0" borderId="17" xfId="3" applyFont="1" applyBorder="1"/>
    <xf numFmtId="37" fontId="48" fillId="0" borderId="78" xfId="0" applyFont="1" applyBorder="1" applyAlignment="1">
      <alignment horizontal="left"/>
    </xf>
    <xf numFmtId="0" fontId="37" fillId="0" borderId="79" xfId="6" applyFont="1" applyBorder="1" applyAlignment="1">
      <alignment horizontal="right"/>
    </xf>
    <xf numFmtId="0" fontId="37" fillId="0" borderId="80" xfId="6" applyFont="1" applyBorder="1" applyAlignment="1">
      <alignment horizontal="right"/>
    </xf>
    <xf numFmtId="37" fontId="48" fillId="0" borderId="55" xfId="0" applyFont="1" applyBorder="1" applyAlignment="1">
      <alignment horizontal="left"/>
    </xf>
    <xf numFmtId="0" fontId="37" fillId="0" borderId="55" xfId="6" applyFont="1" applyBorder="1" applyAlignment="1">
      <alignment horizontal="center"/>
    </xf>
    <xf numFmtId="166" fontId="11" fillId="8" borderId="1" xfId="7" applyFont="1" applyFill="1" applyBorder="1"/>
    <xf numFmtId="7" fontId="17" fillId="8" borderId="1" xfId="7" applyNumberFormat="1" applyFont="1" applyFill="1" applyBorder="1"/>
    <xf numFmtId="0" fontId="23" fillId="0" borderId="101" xfId="3" quotePrefix="1" applyFont="1" applyBorder="1" applyAlignment="1">
      <alignment horizontal="center"/>
    </xf>
    <xf numFmtId="0" fontId="23" fillId="0" borderId="97" xfId="3" applyFont="1" applyBorder="1" applyAlignment="1">
      <alignment horizontal="left"/>
    </xf>
    <xf numFmtId="5" fontId="1" fillId="0" borderId="22" xfId="3" applyNumberFormat="1" applyFont="1" applyBorder="1"/>
    <xf numFmtId="166" fontId="7" fillId="2" borderId="103" xfId="7" applyFont="1" applyBorder="1" applyAlignment="1">
      <alignment horizontal="center"/>
    </xf>
    <xf numFmtId="166" fontId="7" fillId="2" borderId="102" xfId="7" applyFont="1" applyBorder="1" applyAlignment="1">
      <alignment horizontal="center"/>
    </xf>
    <xf numFmtId="166" fontId="14" fillId="2" borderId="102" xfId="7" applyBorder="1"/>
    <xf numFmtId="166" fontId="11" fillId="8" borderId="104" xfId="7" applyFont="1" applyFill="1" applyBorder="1"/>
    <xf numFmtId="176" fontId="1" fillId="5" borderId="7" xfId="1" applyNumberFormat="1" applyFont="1" applyFill="1" applyBorder="1" applyAlignment="1">
      <alignment horizontal="center"/>
    </xf>
    <xf numFmtId="37" fontId="23" fillId="0" borderId="99" xfId="3" applyNumberFormat="1" applyFont="1" applyBorder="1" applyAlignment="1">
      <alignment horizontal="left"/>
    </xf>
    <xf numFmtId="0" fontId="23" fillId="0" borderId="0" xfId="3" applyFont="1" applyAlignment="1">
      <alignment horizontal="center"/>
    </xf>
    <xf numFmtId="5" fontId="23" fillId="0" borderId="0" xfId="3" applyNumberFormat="1" applyFont="1"/>
    <xf numFmtId="0" fontId="25" fillId="0" borderId="0" xfId="3" applyFont="1"/>
    <xf numFmtId="176" fontId="4" fillId="0" borderId="0" xfId="1" applyNumberFormat="1" applyFont="1" applyAlignment="1">
      <alignment horizontal="left"/>
    </xf>
    <xf numFmtId="177" fontId="0" fillId="0" borderId="0" xfId="9" applyNumberFormat="1" applyFont="1"/>
    <xf numFmtId="177" fontId="4" fillId="0" borderId="0" xfId="9" applyNumberFormat="1" applyFont="1" applyAlignment="1">
      <alignment horizontal="right"/>
    </xf>
    <xf numFmtId="177" fontId="4" fillId="0" borderId="0" xfId="9" applyNumberFormat="1" applyFont="1" applyAlignment="1">
      <alignment horizontal="center"/>
    </xf>
    <xf numFmtId="177" fontId="4" fillId="0" borderId="3" xfId="9" applyNumberFormat="1" applyFont="1" applyBorder="1"/>
    <xf numFmtId="177" fontId="4" fillId="0" borderId="4" xfId="9" applyNumberFormat="1" applyFont="1" applyBorder="1"/>
    <xf numFmtId="177" fontId="4" fillId="0" borderId="0" xfId="9" applyNumberFormat="1" applyFont="1" applyBorder="1"/>
    <xf numFmtId="37" fontId="57" fillId="0" borderId="2" xfId="0" applyFont="1" applyBorder="1" applyAlignment="1">
      <alignment vertical="center" wrapText="1"/>
    </xf>
    <xf numFmtId="37" fontId="57" fillId="0" borderId="113" xfId="0" applyFont="1" applyBorder="1" applyAlignment="1">
      <alignment vertical="center" wrapText="1"/>
    </xf>
    <xf numFmtId="37" fontId="58" fillId="0" borderId="113" xfId="0" applyFont="1" applyBorder="1" applyAlignment="1">
      <alignment vertical="center" wrapText="1"/>
    </xf>
    <xf numFmtId="37" fontId="57" fillId="0" borderId="10" xfId="0" applyFont="1" applyBorder="1" applyAlignment="1">
      <alignment horizontal="right" vertical="center" wrapText="1"/>
    </xf>
    <xf numFmtId="37" fontId="57" fillId="0" borderId="114" xfId="0" applyFont="1" applyBorder="1" applyAlignment="1">
      <alignment vertical="center" wrapText="1"/>
    </xf>
    <xf numFmtId="37" fontId="58" fillId="0" borderId="114" xfId="0" applyFont="1" applyBorder="1" applyAlignment="1">
      <alignment vertical="center" wrapText="1"/>
    </xf>
    <xf numFmtId="37" fontId="57" fillId="0" borderId="10" xfId="0" applyFont="1" applyBorder="1" applyAlignment="1">
      <alignment vertical="center" wrapText="1"/>
    </xf>
    <xf numFmtId="37" fontId="57" fillId="0" borderId="115" xfId="0" applyFont="1" applyBorder="1" applyAlignment="1">
      <alignment vertical="center" wrapText="1"/>
    </xf>
    <xf numFmtId="37" fontId="58" fillId="0" borderId="115" xfId="0" applyFont="1" applyBorder="1" applyAlignment="1">
      <alignment vertical="center" wrapText="1"/>
    </xf>
    <xf numFmtId="37" fontId="58" fillId="0" borderId="115" xfId="0" applyFont="1" applyBorder="1"/>
    <xf numFmtId="37" fontId="58" fillId="0" borderId="115" xfId="0" applyFont="1" applyBorder="1" applyAlignment="1">
      <alignment horizontal="center"/>
    </xf>
    <xf numFmtId="177" fontId="58" fillId="0" borderId="115" xfId="9" applyNumberFormat="1" applyFont="1" applyBorder="1"/>
    <xf numFmtId="37" fontId="57" fillId="0" borderId="2" xfId="0" applyFont="1" applyBorder="1" applyAlignment="1">
      <alignment horizontal="right" vertical="center" wrapText="1"/>
    </xf>
    <xf numFmtId="37" fontId="59" fillId="0" borderId="2" xfId="0" applyFont="1" applyBorder="1" applyAlignment="1">
      <alignment vertical="center" wrapText="1"/>
    </xf>
    <xf numFmtId="37" fontId="57" fillId="0" borderId="102" xfId="0" applyFont="1" applyBorder="1" applyAlignment="1">
      <alignment vertical="center" wrapText="1"/>
    </xf>
    <xf numFmtId="37" fontId="57" fillId="0" borderId="7" xfId="0" applyFont="1" applyBorder="1" applyAlignment="1">
      <alignment vertical="center" wrapText="1"/>
    </xf>
    <xf numFmtId="37" fontId="60" fillId="0" borderId="2" xfId="0" applyFont="1" applyBorder="1" applyAlignment="1">
      <alignment vertical="center" wrapText="1"/>
    </xf>
    <xf numFmtId="37" fontId="58" fillId="0" borderId="2" xfId="0" applyFont="1" applyBorder="1" applyAlignment="1">
      <alignment vertical="center" wrapText="1"/>
    </xf>
    <xf numFmtId="37" fontId="58" fillId="0" borderId="0" xfId="0" applyFont="1" applyBorder="1" applyAlignment="1">
      <alignment vertical="center" wrapText="1"/>
    </xf>
    <xf numFmtId="37" fontId="6" fillId="9" borderId="88" xfId="0" applyFont="1" applyFill="1" applyBorder="1"/>
    <xf numFmtId="37" fontId="6" fillId="9" borderId="89" xfId="0" applyFont="1" applyFill="1" applyBorder="1" applyAlignment="1">
      <alignment horizontal="center"/>
    </xf>
    <xf numFmtId="37" fontId="6" fillId="9" borderId="88" xfId="0" applyFont="1" applyFill="1" applyBorder="1" applyAlignment="1">
      <alignment horizontal="center"/>
    </xf>
    <xf numFmtId="37" fontId="6" fillId="9" borderId="90" xfId="0" applyFont="1" applyFill="1" applyBorder="1" applyAlignment="1">
      <alignment horizontal="center"/>
    </xf>
    <xf numFmtId="177" fontId="6" fillId="9" borderId="88" xfId="9" applyNumberFormat="1" applyFont="1" applyFill="1" applyBorder="1" applyAlignment="1">
      <alignment horizontal="center"/>
    </xf>
    <xf numFmtId="177" fontId="6" fillId="9" borderId="89" xfId="9" applyNumberFormat="1" applyFont="1" applyFill="1" applyBorder="1" applyAlignment="1">
      <alignment horizontal="center"/>
    </xf>
    <xf numFmtId="37" fontId="59" fillId="0" borderId="115" xfId="0" applyFont="1" applyBorder="1" applyAlignment="1">
      <alignment vertical="center" wrapText="1"/>
    </xf>
    <xf numFmtId="37" fontId="58" fillId="0" borderId="102" xfId="0" applyFont="1" applyBorder="1" applyAlignment="1">
      <alignment vertical="center" wrapText="1"/>
    </xf>
    <xf numFmtId="37" fontId="57" fillId="0" borderId="114" xfId="0" applyFont="1" applyBorder="1" applyAlignment="1">
      <alignment horizontal="left" vertical="center" wrapText="1" indent="1"/>
    </xf>
    <xf numFmtId="0" fontId="23" fillId="0" borderId="98" xfId="3" applyFont="1" applyBorder="1" applyAlignment="1">
      <alignment horizontal="left"/>
    </xf>
    <xf numFmtId="37" fontId="57" fillId="0" borderId="114" xfId="0" applyFont="1" applyBorder="1" applyAlignment="1">
      <alignment horizontal="left" vertical="center" wrapText="1"/>
    </xf>
    <xf numFmtId="166" fontId="14" fillId="2" borderId="0" xfId="7" applyAlignment="1">
      <alignment horizontal="center"/>
    </xf>
    <xf numFmtId="176" fontId="14" fillId="2" borderId="0" xfId="1" applyNumberFormat="1" applyFont="1" applyFill="1"/>
    <xf numFmtId="176" fontId="4" fillId="0" borderId="0" xfId="1" applyNumberFormat="1" applyFont="1" applyAlignment="1">
      <alignment horizontal="right"/>
    </xf>
    <xf numFmtId="176" fontId="7" fillId="0" borderId="47" xfId="1" applyNumberFormat="1" applyFont="1" applyBorder="1" applyAlignment="1">
      <alignment horizontal="center"/>
    </xf>
    <xf numFmtId="176" fontId="7" fillId="2" borderId="39" xfId="1" applyNumberFormat="1" applyFont="1" applyFill="1" applyBorder="1" applyAlignment="1">
      <alignment horizontal="center"/>
    </xf>
    <xf numFmtId="176" fontId="4" fillId="8" borderId="105" xfId="1" applyNumberFormat="1" applyFont="1" applyFill="1" applyBorder="1"/>
    <xf numFmtId="177" fontId="14" fillId="2" borderId="0" xfId="9" applyNumberFormat="1" applyFont="1" applyFill="1"/>
    <xf numFmtId="7" fontId="57" fillId="2" borderId="111" xfId="7" applyNumberFormat="1" applyFont="1" applyBorder="1"/>
    <xf numFmtId="176" fontId="59" fillId="0" borderId="110" xfId="1" applyNumberFormat="1" applyFont="1" applyFill="1" applyBorder="1"/>
    <xf numFmtId="166" fontId="59" fillId="0" borderId="77" xfId="7" applyFont="1" applyFill="1" applyBorder="1" applyAlignment="1" applyProtection="1">
      <alignment horizontal="left"/>
      <protection locked="0"/>
    </xf>
    <xf numFmtId="166" fontId="59" fillId="0" borderId="109" xfId="7" applyFont="1" applyFill="1" applyBorder="1" applyAlignment="1">
      <alignment horizontal="left"/>
    </xf>
    <xf numFmtId="166" fontId="59" fillId="2" borderId="108" xfId="7" applyFont="1" applyBorder="1" applyAlignment="1">
      <alignment horizontal="center"/>
    </xf>
    <xf numFmtId="176" fontId="57" fillId="2" borderId="107" xfId="1" applyNumberFormat="1" applyFont="1" applyFill="1" applyBorder="1"/>
    <xf numFmtId="166" fontId="59" fillId="2" borderId="106" xfId="7" applyFont="1" applyBorder="1" applyAlignment="1">
      <alignment horizontal="center"/>
    </xf>
    <xf numFmtId="166" fontId="59" fillId="2" borderId="6" xfId="7" applyFont="1" applyBorder="1"/>
    <xf numFmtId="166" fontId="59" fillId="2" borderId="10" xfId="7" applyFont="1" applyBorder="1"/>
    <xf numFmtId="176" fontId="57" fillId="2" borderId="112" xfId="1" applyNumberFormat="1" applyFont="1" applyFill="1" applyBorder="1"/>
    <xf numFmtId="166" fontId="59" fillId="0" borderId="38" xfId="7" applyFont="1" applyFill="1" applyBorder="1"/>
    <xf numFmtId="166" fontId="59" fillId="0" borderId="28" xfId="7" applyFont="1" applyFill="1" applyBorder="1"/>
    <xf numFmtId="176" fontId="59" fillId="0" borderId="39" xfId="1" applyNumberFormat="1" applyFont="1" applyFill="1" applyBorder="1"/>
    <xf numFmtId="175" fontId="4" fillId="0" borderId="0" xfId="1" quotePrefix="1" applyNumberFormat="1" applyFont="1" applyAlignment="1">
      <alignment horizontal="left"/>
    </xf>
    <xf numFmtId="14" fontId="7" fillId="2" borderId="47" xfId="7" applyNumberFormat="1" applyFont="1" applyBorder="1" applyAlignment="1">
      <alignment horizontal="center"/>
    </xf>
    <xf numFmtId="14" fontId="7" fillId="2" borderId="39" xfId="7" applyNumberFormat="1" applyFont="1" applyBorder="1" applyAlignment="1">
      <alignment horizontal="center"/>
    </xf>
    <xf numFmtId="37" fontId="59" fillId="0" borderId="114" xfId="0" applyFont="1" applyBorder="1" applyAlignment="1">
      <alignment vertical="center" wrapText="1"/>
    </xf>
    <xf numFmtId="167" fontId="1" fillId="0" borderId="22" xfId="3" applyNumberFormat="1" applyFont="1" applyBorder="1"/>
    <xf numFmtId="37" fontId="57" fillId="0" borderId="115" xfId="0" applyFont="1" applyBorder="1" applyAlignment="1">
      <alignment horizontal="left" vertical="center" wrapText="1" indent="1"/>
    </xf>
    <xf numFmtId="37" fontId="57" fillId="0" borderId="115" xfId="0" quotePrefix="1" applyFont="1" applyBorder="1" applyAlignment="1">
      <alignment horizontal="left" vertical="center" wrapText="1" indent="1"/>
    </xf>
    <xf numFmtId="37" fontId="57" fillId="0" borderId="115" xfId="0" applyFont="1" applyBorder="1" applyAlignment="1">
      <alignment horizontal="left" vertical="center" wrapText="1" indent="2"/>
    </xf>
    <xf numFmtId="37" fontId="62" fillId="0" borderId="102" xfId="0" applyFont="1" applyBorder="1" applyAlignment="1">
      <alignment vertical="center" wrapText="1"/>
    </xf>
    <xf numFmtId="178" fontId="23" fillId="0" borderId="98" xfId="3" applyNumberFormat="1" applyFont="1" applyBorder="1" applyAlignment="1">
      <alignment horizontal="center"/>
    </xf>
    <xf numFmtId="178" fontId="23" fillId="0" borderId="99" xfId="3" applyNumberFormat="1" applyFont="1" applyBorder="1" applyAlignment="1">
      <alignment horizontal="left"/>
    </xf>
    <xf numFmtId="178" fontId="25" fillId="0" borderId="46" xfId="3" applyNumberFormat="1" applyFont="1" applyBorder="1"/>
    <xf numFmtId="178" fontId="25" fillId="0" borderId="22" xfId="3" applyNumberFormat="1" applyFont="1" applyBorder="1"/>
    <xf numFmtId="178" fontId="25" fillId="0" borderId="22" xfId="3" applyNumberFormat="1" applyFont="1" applyBorder="1" applyAlignment="1">
      <alignment horizontal="centerContinuous"/>
    </xf>
    <xf numFmtId="178" fontId="13" fillId="0" borderId="0" xfId="3" applyNumberFormat="1"/>
    <xf numFmtId="5" fontId="1" fillId="0" borderId="46" xfId="3" applyNumberFormat="1" applyFont="1" applyBorder="1"/>
    <xf numFmtId="176" fontId="22" fillId="0" borderId="0" xfId="1" applyNumberFormat="1" applyFont="1"/>
    <xf numFmtId="176" fontId="13" fillId="0" borderId="70" xfId="1" applyNumberFormat="1" applyFont="1" applyBorder="1"/>
    <xf numFmtId="176" fontId="22" fillId="0" borderId="2" xfId="1" applyNumberFormat="1" applyFont="1" applyBorder="1"/>
    <xf numFmtId="176" fontId="13" fillId="0" borderId="2" xfId="1" applyNumberFormat="1" applyFont="1" applyBorder="1"/>
    <xf numFmtId="176" fontId="23" fillId="5" borderId="21" xfId="1" applyNumberFormat="1" applyFont="1" applyFill="1" applyBorder="1" applyAlignment="1">
      <alignment horizontal="center"/>
    </xf>
    <xf numFmtId="176" fontId="23" fillId="5" borderId="7" xfId="1" applyNumberFormat="1" applyFont="1" applyFill="1" applyBorder="1" applyAlignment="1">
      <alignment horizontal="center"/>
    </xf>
    <xf numFmtId="176" fontId="25" fillId="6" borderId="0" xfId="1" applyNumberFormat="1" applyFont="1" applyFill="1" applyAlignment="1">
      <alignment horizontal="right"/>
    </xf>
    <xf numFmtId="176" fontId="23" fillId="5" borderId="22" xfId="1" applyNumberFormat="1" applyFont="1" applyFill="1" applyBorder="1"/>
    <xf numFmtId="176" fontId="23" fillId="5" borderId="0" xfId="1" applyNumberFormat="1" applyFont="1" applyFill="1"/>
    <xf numFmtId="176" fontId="25" fillId="4" borderId="9" xfId="1" applyNumberFormat="1" applyFont="1" applyFill="1" applyBorder="1" applyAlignment="1">
      <alignment horizontal="right"/>
    </xf>
    <xf numFmtId="176" fontId="25" fillId="4" borderId="0" xfId="1" applyNumberFormat="1" applyFont="1" applyFill="1" applyAlignment="1">
      <alignment horizontal="right"/>
    </xf>
    <xf numFmtId="176" fontId="25" fillId="0" borderId="22" xfId="1" applyNumberFormat="1" applyFont="1" applyBorder="1" applyAlignment="1">
      <alignment horizontal="right"/>
    </xf>
    <xf numFmtId="176" fontId="23" fillId="0" borderId="22" xfId="1" applyNumberFormat="1" applyFont="1" applyBorder="1"/>
    <xf numFmtId="176" fontId="13" fillId="0" borderId="0" xfId="1" applyNumberFormat="1" applyFont="1"/>
    <xf numFmtId="37" fontId="62" fillId="0" borderId="115" xfId="0" applyFont="1" applyBorder="1" applyAlignment="1">
      <alignment vertical="center" wrapText="1"/>
    </xf>
    <xf numFmtId="37" fontId="58" fillId="0" borderId="114" xfId="0" applyFont="1" applyBorder="1" applyAlignment="1">
      <alignment horizontal="left" vertical="center" wrapText="1" indent="1"/>
    </xf>
    <xf numFmtId="37" fontId="62" fillId="0" borderId="114" xfId="0" applyFont="1" applyBorder="1" applyAlignment="1">
      <alignment vertical="center" wrapText="1"/>
    </xf>
    <xf numFmtId="176" fontId="13" fillId="0" borderId="17" xfId="1" applyNumberFormat="1" applyFont="1" applyBorder="1"/>
    <xf numFmtId="176" fontId="24" fillId="0" borderId="18" xfId="1" applyNumberFormat="1" applyFont="1" applyBorder="1"/>
    <xf numFmtId="176" fontId="23" fillId="0" borderId="19" xfId="1" applyNumberFormat="1" applyFont="1" applyBorder="1"/>
    <xf numFmtId="176" fontId="23" fillId="4" borderId="0" xfId="1" applyNumberFormat="1" applyFont="1" applyFill="1"/>
    <xf numFmtId="176" fontId="26" fillId="0" borderId="18" xfId="1" applyNumberFormat="1" applyFont="1" applyBorder="1"/>
    <xf numFmtId="176" fontId="13" fillId="0" borderId="20" xfId="1" applyNumberFormat="1" applyFont="1" applyBorder="1"/>
    <xf numFmtId="176" fontId="25" fillId="0" borderId="18" xfId="1" applyNumberFormat="1" applyFont="1" applyBorder="1"/>
    <xf numFmtId="176" fontId="23" fillId="0" borderId="19" xfId="1" applyNumberFormat="1" applyFont="1" applyBorder="1" applyAlignment="1">
      <alignment horizontal="centerContinuous"/>
    </xf>
    <xf numFmtId="176" fontId="25" fillId="0" borderId="19" xfId="1" applyNumberFormat="1" applyFont="1" applyBorder="1"/>
    <xf numFmtId="176" fontId="56" fillId="0" borderId="21" xfId="1" applyNumberFormat="1" applyFont="1" applyBorder="1" applyAlignment="1">
      <alignment horizontal="center"/>
    </xf>
    <xf numFmtId="176" fontId="23" fillId="0" borderId="21" xfId="1" applyNumberFormat="1" applyFont="1" applyBorder="1" applyAlignment="1">
      <alignment horizontal="center"/>
    </xf>
    <xf numFmtId="176" fontId="23" fillId="0" borderId="21" xfId="1" applyNumberFormat="1" applyFont="1" applyBorder="1"/>
    <xf numFmtId="176" fontId="56" fillId="0" borderId="7" xfId="1" applyNumberFormat="1" applyFont="1" applyBorder="1" applyAlignment="1">
      <alignment horizontal="center"/>
    </xf>
    <xf numFmtId="176" fontId="23" fillId="0" borderId="7" xfId="1" applyNumberFormat="1" applyFont="1" applyBorder="1" applyAlignment="1">
      <alignment horizontal="center"/>
    </xf>
    <xf numFmtId="176" fontId="23" fillId="0" borderId="7" xfId="1" applyNumberFormat="1" applyFont="1" applyBorder="1" applyAlignment="1">
      <alignment horizontal="centerContinuous"/>
    </xf>
    <xf numFmtId="176" fontId="1" fillId="0" borderId="22" xfId="1" applyNumberFormat="1" applyFont="1" applyBorder="1" applyAlignment="1">
      <alignment horizontal="centerContinuous"/>
    </xf>
    <xf numFmtId="176" fontId="25" fillId="0" borderId="22" xfId="1" applyNumberFormat="1" applyFont="1" applyBorder="1"/>
    <xf numFmtId="176" fontId="25" fillId="0" borderId="22" xfId="1" applyNumberFormat="1" applyFont="1" applyBorder="1" applyAlignment="1">
      <alignment horizontal="centerContinuous"/>
    </xf>
    <xf numFmtId="176" fontId="25" fillId="0" borderId="22" xfId="1" applyNumberFormat="1" applyFont="1" applyBorder="1" applyAlignment="1">
      <alignment horizontal="center"/>
    </xf>
    <xf numFmtId="176" fontId="1" fillId="0" borderId="22" xfId="1" applyNumberFormat="1" applyFont="1" applyBorder="1"/>
    <xf numFmtId="176" fontId="25" fillId="4" borderId="0" xfId="1" applyNumberFormat="1" applyFont="1" applyFill="1"/>
    <xf numFmtId="176" fontId="27" fillId="0" borderId="23" xfId="1" applyNumberFormat="1" applyFont="1" applyBorder="1"/>
    <xf numFmtId="176" fontId="25" fillId="0" borderId="20" xfId="1" applyNumberFormat="1" applyFont="1" applyBorder="1"/>
    <xf numFmtId="176" fontId="25" fillId="0" borderId="23" xfId="1" applyNumberFormat="1" applyFont="1" applyBorder="1"/>
    <xf numFmtId="176" fontId="23" fillId="0" borderId="0" xfId="1" applyNumberFormat="1" applyFont="1"/>
    <xf numFmtId="176" fontId="25" fillId="0" borderId="0" xfId="1" applyNumberFormat="1" applyFont="1"/>
    <xf numFmtId="176" fontId="25" fillId="4" borderId="9" xfId="1" applyNumberFormat="1" applyFont="1" applyFill="1" applyBorder="1"/>
    <xf numFmtId="179" fontId="13" fillId="0" borderId="6" xfId="1" applyNumberFormat="1" applyFont="1" applyBorder="1"/>
    <xf numFmtId="176" fontId="1" fillId="0" borderId="20" xfId="1" applyNumberFormat="1" applyFont="1" applyBorder="1"/>
    <xf numFmtId="10" fontId="25" fillId="0" borderId="20" xfId="8" applyNumberFormat="1" applyFont="1" applyBorder="1"/>
    <xf numFmtId="38" fontId="57" fillId="10" borderId="114" xfId="0" applyNumberFormat="1" applyFont="1" applyFill="1" applyBorder="1"/>
    <xf numFmtId="37" fontId="57" fillId="10" borderId="114" xfId="0" applyFont="1" applyFill="1" applyBorder="1" applyAlignment="1">
      <alignment horizontal="center"/>
    </xf>
    <xf numFmtId="177" fontId="57" fillId="10" borderId="114" xfId="9" applyNumberFormat="1" applyFont="1" applyFill="1" applyBorder="1"/>
    <xf numFmtId="176" fontId="23" fillId="0" borderId="22" xfId="3" applyNumberFormat="1" applyFont="1" applyBorder="1"/>
    <xf numFmtId="166" fontId="46" fillId="2" borderId="0" xfId="7" applyFont="1"/>
    <xf numFmtId="166" fontId="46" fillId="2" borderId="0" xfId="7" applyFont="1" applyAlignment="1">
      <alignment horizontal="right"/>
    </xf>
    <xf numFmtId="10" fontId="46" fillId="2" borderId="0" xfId="8" applyNumberFormat="1" applyFont="1" applyFill="1"/>
    <xf numFmtId="37" fontId="4" fillId="0" borderId="55" xfId="0" applyFont="1" applyBorder="1"/>
    <xf numFmtId="177" fontId="4" fillId="0" borderId="55" xfId="9" applyNumberFormat="1" applyFont="1" applyBorder="1"/>
    <xf numFmtId="177" fontId="0" fillId="0" borderId="55" xfId="9" applyNumberFormat="1" applyFont="1" applyBorder="1"/>
    <xf numFmtId="37" fontId="23" fillId="0" borderId="55" xfId="3" applyNumberFormat="1" applyFont="1" applyBorder="1" applyAlignment="1">
      <alignment horizontal="left"/>
    </xf>
    <xf numFmtId="37" fontId="0" fillId="0" borderId="55" xfId="0" applyBorder="1"/>
    <xf numFmtId="0" fontId="1" fillId="0" borderId="55" xfId="3" applyFont="1" applyBorder="1" applyAlignment="1">
      <alignment horizontal="left" indent="1"/>
    </xf>
    <xf numFmtId="176" fontId="25" fillId="0" borderId="55" xfId="1" applyNumberFormat="1" applyFont="1" applyBorder="1" applyAlignment="1">
      <alignment horizontal="right"/>
    </xf>
    <xf numFmtId="166" fontId="59" fillId="0" borderId="6" xfId="7" applyFont="1" applyFill="1" applyBorder="1"/>
    <xf numFmtId="176" fontId="57" fillId="0" borderId="107" xfId="1" applyNumberFormat="1" applyFont="1" applyFill="1" applyBorder="1"/>
    <xf numFmtId="166" fontId="59" fillId="0" borderId="0" xfId="7" applyFont="1" applyFill="1"/>
    <xf numFmtId="176" fontId="59" fillId="0" borderId="0" xfId="1" applyNumberFormat="1" applyFont="1" applyFill="1" applyBorder="1"/>
    <xf numFmtId="166" fontId="18" fillId="3" borderId="48" xfId="7" applyFont="1" applyFill="1" applyBorder="1"/>
    <xf numFmtId="7" fontId="18" fillId="3" borderId="83" xfId="7" applyNumberFormat="1" applyFont="1" applyFill="1" applyBorder="1"/>
    <xf numFmtId="176" fontId="7" fillId="3" borderId="47" xfId="1" applyNumberFormat="1" applyFont="1" applyFill="1" applyBorder="1"/>
    <xf numFmtId="166" fontId="14" fillId="2" borderId="37" xfId="7" applyBorder="1"/>
    <xf numFmtId="166" fontId="14" fillId="2" borderId="38" xfId="7" applyBorder="1"/>
    <xf numFmtId="166" fontId="64" fillId="2" borderId="55" xfId="7" applyFont="1" applyBorder="1" applyAlignment="1">
      <alignment horizontal="left" indent="1"/>
    </xf>
    <xf numFmtId="176" fontId="58" fillId="2" borderId="55" xfId="1" applyNumberFormat="1" applyFont="1" applyFill="1" applyBorder="1"/>
    <xf numFmtId="37" fontId="23" fillId="0" borderId="83" xfId="3" applyNumberFormat="1" applyFont="1" applyBorder="1" applyAlignment="1">
      <alignment horizontal="left"/>
    </xf>
    <xf numFmtId="176" fontId="14" fillId="2" borderId="57" xfId="1" applyNumberFormat="1" applyFont="1" applyFill="1" applyBorder="1"/>
    <xf numFmtId="177" fontId="59" fillId="0" borderId="114" xfId="9" applyNumberFormat="1" applyFont="1" applyBorder="1"/>
    <xf numFmtId="37" fontId="62" fillId="0" borderId="114" xfId="0" applyFont="1" applyBorder="1" applyAlignment="1">
      <alignment horizontal="left" vertical="center" wrapText="1"/>
    </xf>
    <xf numFmtId="166" fontId="7" fillId="9" borderId="48" xfId="7" applyFont="1" applyFill="1" applyBorder="1" applyAlignment="1">
      <alignment horizontal="center"/>
    </xf>
    <xf numFmtId="37" fontId="4" fillId="9" borderId="117" xfId="0" applyFont="1" applyFill="1" applyBorder="1"/>
    <xf numFmtId="37" fontId="5" fillId="9" borderId="83" xfId="0" applyFont="1" applyFill="1" applyBorder="1"/>
    <xf numFmtId="37" fontId="6" fillId="9" borderId="117" xfId="0" applyFont="1" applyFill="1" applyBorder="1" applyAlignment="1">
      <alignment horizontal="center"/>
    </xf>
    <xf numFmtId="37" fontId="6" fillId="9" borderId="118" xfId="0" applyFont="1" applyFill="1" applyBorder="1" applyAlignment="1">
      <alignment horizontal="center"/>
    </xf>
    <xf numFmtId="177" fontId="4" fillId="9" borderId="117" xfId="9" applyNumberFormat="1" applyFont="1" applyFill="1" applyBorder="1"/>
    <xf numFmtId="177" fontId="4" fillId="9" borderId="83" xfId="9" applyNumberFormat="1" applyFont="1" applyFill="1" applyBorder="1"/>
    <xf numFmtId="166" fontId="7" fillId="9" borderId="120" xfId="7" applyFont="1" applyFill="1" applyBorder="1" applyAlignment="1">
      <alignment horizontal="center"/>
    </xf>
    <xf numFmtId="171" fontId="6" fillId="0" borderId="37" xfId="0" applyNumberFormat="1" applyFont="1" applyBorder="1"/>
    <xf numFmtId="171" fontId="41" fillId="0" borderId="37" xfId="0" quotePrefix="1" applyNumberFormat="1" applyFont="1" applyBorder="1" applyAlignment="1">
      <alignment horizontal="center"/>
    </xf>
    <xf numFmtId="171" fontId="6" fillId="0" borderId="124" xfId="0" applyNumberFormat="1" applyFont="1" applyBorder="1"/>
    <xf numFmtId="171" fontId="41" fillId="0" borderId="37" xfId="0" applyNumberFormat="1" applyFont="1" applyBorder="1"/>
    <xf numFmtId="171" fontId="19" fillId="0" borderId="37" xfId="0" applyNumberFormat="1" applyFont="1" applyBorder="1"/>
    <xf numFmtId="171" fontId="39" fillId="0" borderId="37" xfId="0" applyNumberFormat="1" applyFont="1" applyBorder="1"/>
    <xf numFmtId="171" fontId="18" fillId="0" borderId="37" xfId="0" applyNumberFormat="1" applyFont="1" applyBorder="1"/>
    <xf numFmtId="171" fontId="40" fillId="0" borderId="38" xfId="0" applyNumberFormat="1" applyFont="1" applyBorder="1"/>
    <xf numFmtId="38" fontId="6" fillId="0" borderId="125" xfId="0" applyNumberFormat="1" applyFont="1" applyBorder="1"/>
    <xf numFmtId="38" fontId="9" fillId="0" borderId="125" xfId="0" applyNumberFormat="1" applyFont="1" applyBorder="1" applyAlignment="1">
      <alignment horizontal="right" vertical="center" wrapText="1"/>
    </xf>
    <xf numFmtId="38" fontId="9" fillId="0" borderId="125" xfId="0" applyNumberFormat="1" applyFont="1" applyBorder="1"/>
    <xf numFmtId="37" fontId="9" fillId="0" borderId="125" xfId="0" applyFont="1" applyBorder="1"/>
    <xf numFmtId="177" fontId="9" fillId="0" borderId="125" xfId="9" applyNumberFormat="1" applyFont="1" applyBorder="1"/>
    <xf numFmtId="177" fontId="9" fillId="0" borderId="126" xfId="9" applyNumberFormat="1" applyFont="1" applyBorder="1"/>
    <xf numFmtId="176" fontId="57" fillId="2" borderId="107" xfId="1" applyNumberFormat="1" applyFont="1" applyFill="1" applyBorder="1" applyAlignment="1">
      <alignment horizontal="center"/>
    </xf>
    <xf numFmtId="37" fontId="65" fillId="0" borderId="2" xfId="0" applyFont="1" applyBorder="1" applyAlignment="1">
      <alignment vertical="center" wrapText="1"/>
    </xf>
    <xf numFmtId="176" fontId="58" fillId="0" borderId="0" xfId="1" applyNumberFormat="1" applyFont="1"/>
    <xf numFmtId="176" fontId="57" fillId="0" borderId="0" xfId="1" applyNumberFormat="1" applyFont="1" applyAlignment="1">
      <alignment horizontal="left"/>
    </xf>
    <xf numFmtId="175" fontId="57" fillId="0" borderId="0" xfId="1" applyNumberFormat="1" applyFont="1" applyAlignment="1">
      <alignment horizontal="left"/>
    </xf>
    <xf numFmtId="176" fontId="57" fillId="0" borderId="0" xfId="1" applyNumberFormat="1" applyFont="1"/>
    <xf numFmtId="176" fontId="59" fillId="9" borderId="119" xfId="1" applyNumberFormat="1" applyFont="1" applyFill="1" applyBorder="1" applyAlignment="1">
      <alignment horizontal="center"/>
    </xf>
    <xf numFmtId="176" fontId="59" fillId="9" borderId="121" xfId="1" applyNumberFormat="1" applyFont="1" applyFill="1" applyBorder="1" applyAlignment="1">
      <alignment horizontal="center"/>
    </xf>
    <xf numFmtId="176" fontId="57" fillId="0" borderId="122" xfId="1" applyNumberFormat="1" applyFont="1" applyBorder="1"/>
    <xf numFmtId="176" fontId="58" fillId="0" borderId="122" xfId="1" applyNumberFormat="1" applyFont="1" applyBorder="1"/>
    <xf numFmtId="176" fontId="59" fillId="0" borderId="127" xfId="1" applyNumberFormat="1" applyFont="1" applyBorder="1"/>
    <xf numFmtId="176" fontId="57" fillId="0" borderId="93" xfId="1" applyNumberFormat="1" applyFont="1" applyBorder="1"/>
    <xf numFmtId="166" fontId="63" fillId="2" borderId="55" xfId="7" applyFont="1" applyBorder="1"/>
    <xf numFmtId="37" fontId="63" fillId="0" borderId="55" xfId="0" applyFont="1" applyBorder="1"/>
    <xf numFmtId="176" fontId="25" fillId="0" borderId="46" xfId="1" applyNumberFormat="1" applyFont="1" applyBorder="1"/>
    <xf numFmtId="176" fontId="1" fillId="0" borderId="46" xfId="1" applyNumberFormat="1" applyFont="1" applyBorder="1"/>
    <xf numFmtId="176" fontId="14" fillId="2" borderId="60" xfId="1" applyNumberFormat="1" applyFont="1" applyFill="1" applyBorder="1"/>
    <xf numFmtId="37" fontId="16" fillId="0" borderId="0" xfId="0" applyFont="1" applyAlignment="1">
      <alignment vertical="center" wrapText="1"/>
    </xf>
    <xf numFmtId="178" fontId="1" fillId="0" borderId="22" xfId="3" applyNumberFormat="1" applyFont="1" applyBorder="1" applyAlignment="1">
      <alignment horizontal="centerContinuous"/>
    </xf>
    <xf numFmtId="37" fontId="58" fillId="10" borderId="115" xfId="0" applyFont="1" applyFill="1" applyBorder="1" applyAlignment="1">
      <alignment vertical="center" wrapText="1"/>
    </xf>
    <xf numFmtId="37" fontId="58" fillId="10" borderId="115" xfId="0" applyFont="1" applyFill="1" applyBorder="1"/>
    <xf numFmtId="37" fontId="58" fillId="10" borderId="115" xfId="0" applyFont="1" applyFill="1" applyBorder="1" applyAlignment="1">
      <alignment horizontal="center"/>
    </xf>
    <xf numFmtId="177" fontId="58" fillId="10" borderId="115" xfId="9" applyNumberFormat="1" applyFont="1" applyFill="1" applyBorder="1"/>
    <xf numFmtId="176" fontId="58" fillId="2" borderId="128" xfId="1" applyNumberFormat="1" applyFont="1" applyFill="1" applyBorder="1"/>
    <xf numFmtId="37" fontId="63" fillId="0" borderId="128" xfId="0" applyFont="1" applyBorder="1" applyAlignment="1">
      <alignment wrapText="1"/>
    </xf>
    <xf numFmtId="176" fontId="7" fillId="0" borderId="0" xfId="1" applyNumberFormat="1" applyFont="1" applyBorder="1" applyAlignment="1">
      <alignment horizontal="center"/>
    </xf>
    <xf numFmtId="176" fontId="7" fillId="2" borderId="0" xfId="1" applyNumberFormat="1" applyFont="1" applyFill="1" applyBorder="1" applyAlignment="1">
      <alignment horizontal="center"/>
    </xf>
    <xf numFmtId="176" fontId="4" fillId="8" borderId="0" xfId="1" applyNumberFormat="1" applyFont="1" applyFill="1" applyBorder="1"/>
    <xf numFmtId="176" fontId="57" fillId="2" borderId="0" xfId="1" applyNumberFormat="1" applyFont="1" applyFill="1" applyBorder="1"/>
    <xf numFmtId="176" fontId="7" fillId="3" borderId="0" xfId="1" applyNumberFormat="1" applyFont="1" applyFill="1" applyBorder="1"/>
    <xf numFmtId="176" fontId="14" fillId="2" borderId="0" xfId="1" applyNumberFormat="1" applyFont="1" applyFill="1" applyBorder="1"/>
    <xf numFmtId="37" fontId="46" fillId="0" borderId="0" xfId="0" applyFont="1"/>
    <xf numFmtId="176" fontId="67" fillId="0" borderId="107" xfId="1" applyNumberFormat="1" applyFont="1" applyFill="1" applyBorder="1"/>
    <xf numFmtId="176" fontId="67" fillId="2" borderId="107" xfId="1" applyNumberFormat="1" applyFont="1" applyFill="1" applyBorder="1"/>
    <xf numFmtId="176" fontId="68" fillId="0" borderId="107" xfId="1" applyNumberFormat="1" applyFont="1" applyFill="1" applyBorder="1" applyAlignment="1">
      <alignment shrinkToFit="1"/>
    </xf>
    <xf numFmtId="37" fontId="46" fillId="0" borderId="0" xfId="0" applyFont="1" applyAlignment="1">
      <alignment wrapText="1"/>
    </xf>
    <xf numFmtId="37" fontId="45" fillId="0" borderId="73" xfId="0" applyFont="1" applyBorder="1"/>
    <xf numFmtId="37" fontId="45" fillId="0" borderId="64" xfId="0" applyFont="1" applyBorder="1"/>
    <xf numFmtId="37" fontId="45" fillId="0" borderId="74" xfId="0" applyFont="1" applyBorder="1"/>
    <xf numFmtId="37" fontId="46" fillId="0" borderId="0" xfId="0" applyFont="1" applyAlignment="1">
      <alignment vertical="center"/>
    </xf>
    <xf numFmtId="38" fontId="57" fillId="10" borderId="3" xfId="0" applyNumberFormat="1" applyFont="1" applyFill="1" applyBorder="1"/>
    <xf numFmtId="37" fontId="57" fillId="10" borderId="3" xfId="0" applyFont="1" applyFill="1" applyBorder="1"/>
    <xf numFmtId="177" fontId="57" fillId="10" borderId="3" xfId="9" applyNumberFormat="1" applyFont="1" applyFill="1" applyBorder="1"/>
    <xf numFmtId="177" fontId="57" fillId="10" borderId="4" xfId="9" applyNumberFormat="1" applyFont="1" applyFill="1" applyBorder="1"/>
    <xf numFmtId="176" fontId="57" fillId="10" borderId="122" xfId="1" applyNumberFormat="1" applyFont="1" applyFill="1" applyBorder="1"/>
    <xf numFmtId="38" fontId="57" fillId="10" borderId="113" xfId="0" applyNumberFormat="1" applyFont="1" applyFill="1" applyBorder="1"/>
    <xf numFmtId="37" fontId="57" fillId="10" borderId="113" xfId="0" applyFont="1" applyFill="1" applyBorder="1" applyAlignment="1">
      <alignment horizontal="center"/>
    </xf>
    <xf numFmtId="177" fontId="57" fillId="10" borderId="113" xfId="9" applyNumberFormat="1" applyFont="1" applyFill="1" applyBorder="1"/>
    <xf numFmtId="176" fontId="57" fillId="10" borderId="60" xfId="1" applyNumberFormat="1" applyFont="1" applyFill="1" applyBorder="1"/>
    <xf numFmtId="37" fontId="58" fillId="10" borderId="113" xfId="0" applyFont="1" applyFill="1" applyBorder="1"/>
    <xf numFmtId="37" fontId="58" fillId="10" borderId="113" xfId="0" applyFont="1" applyFill="1" applyBorder="1" applyAlignment="1">
      <alignment horizontal="center"/>
    </xf>
    <xf numFmtId="177" fontId="58" fillId="10" borderId="113" xfId="9" applyNumberFormat="1" applyFont="1" applyFill="1" applyBorder="1"/>
    <xf numFmtId="176" fontId="58" fillId="10" borderId="60" xfId="1" applyNumberFormat="1" applyFont="1" applyFill="1" applyBorder="1"/>
    <xf numFmtId="38" fontId="57" fillId="10" borderId="102" xfId="0" applyNumberFormat="1" applyFont="1" applyFill="1" applyBorder="1"/>
    <xf numFmtId="37" fontId="57" fillId="10" borderId="102" xfId="0" applyFont="1" applyFill="1" applyBorder="1" applyAlignment="1">
      <alignment horizontal="center"/>
    </xf>
    <xf numFmtId="177" fontId="57" fillId="10" borderId="102" xfId="9" applyNumberFormat="1" applyFont="1" applyFill="1" applyBorder="1"/>
    <xf numFmtId="38" fontId="57" fillId="10" borderId="11" xfId="0" applyNumberFormat="1" applyFont="1" applyFill="1" applyBorder="1"/>
    <xf numFmtId="37" fontId="57" fillId="10" borderId="11" xfId="0" applyFont="1" applyFill="1" applyBorder="1" applyAlignment="1">
      <alignment horizontal="center"/>
    </xf>
    <xf numFmtId="177" fontId="57" fillId="10" borderId="11" xfId="9" applyNumberFormat="1" applyFont="1" applyFill="1" applyBorder="1" applyAlignment="1">
      <alignment horizontal="right"/>
    </xf>
    <xf numFmtId="177" fontId="57" fillId="10" borderId="12" xfId="9" applyNumberFormat="1" applyFont="1" applyFill="1" applyBorder="1"/>
    <xf numFmtId="176" fontId="57" fillId="10" borderId="123" xfId="1" applyNumberFormat="1" applyFont="1" applyFill="1" applyBorder="1"/>
    <xf numFmtId="37" fontId="57" fillId="10" borderId="3" xfId="0" applyFont="1" applyFill="1" applyBorder="1" applyAlignment="1">
      <alignment horizontal="center"/>
    </xf>
    <xf numFmtId="177" fontId="57" fillId="10" borderId="11" xfId="9" applyNumberFormat="1" applyFont="1" applyFill="1" applyBorder="1"/>
    <xf numFmtId="38" fontId="57" fillId="10" borderId="2" xfId="0" applyNumberFormat="1" applyFont="1" applyFill="1" applyBorder="1"/>
    <xf numFmtId="38" fontId="61" fillId="10" borderId="115" xfId="0" applyNumberFormat="1" applyFont="1" applyFill="1" applyBorder="1"/>
    <xf numFmtId="37" fontId="61" fillId="10" borderId="115" xfId="0" applyFont="1" applyFill="1" applyBorder="1" applyAlignment="1">
      <alignment horizontal="center"/>
    </xf>
    <xf numFmtId="177" fontId="61" fillId="10" borderId="115" xfId="9" applyNumberFormat="1" applyFont="1" applyFill="1" applyBorder="1"/>
    <xf numFmtId="38" fontId="58" fillId="10" borderId="115" xfId="0" applyNumberFormat="1" applyFont="1" applyFill="1" applyBorder="1"/>
    <xf numFmtId="38" fontId="57" fillId="10" borderId="115" xfId="0" applyNumberFormat="1" applyFont="1" applyFill="1" applyBorder="1"/>
    <xf numFmtId="37" fontId="57" fillId="10" borderId="115" xfId="0" applyFont="1" applyFill="1" applyBorder="1" applyAlignment="1">
      <alignment horizontal="center"/>
    </xf>
    <xf numFmtId="37" fontId="58" fillId="10" borderId="114" xfId="0" applyFont="1" applyFill="1" applyBorder="1"/>
    <xf numFmtId="177" fontId="58" fillId="10" borderId="114" xfId="9" applyNumberFormat="1" applyFont="1" applyFill="1" applyBorder="1"/>
    <xf numFmtId="37" fontId="58" fillId="10" borderId="114" xfId="0" applyFont="1" applyFill="1" applyBorder="1" applyAlignment="1">
      <alignment horizontal="center"/>
    </xf>
    <xf numFmtId="177" fontId="57" fillId="10" borderId="115" xfId="9" applyNumberFormat="1" applyFont="1" applyFill="1" applyBorder="1"/>
    <xf numFmtId="177" fontId="57" fillId="10" borderId="3" xfId="9" applyNumberFormat="1" applyFont="1" applyFill="1" applyBorder="1" applyAlignment="1">
      <alignment horizontal="right"/>
    </xf>
    <xf numFmtId="38" fontId="57" fillId="10" borderId="7" xfId="0" applyNumberFormat="1" applyFont="1" applyFill="1" applyBorder="1"/>
    <xf numFmtId="37" fontId="57" fillId="10" borderId="7" xfId="0" applyFont="1" applyFill="1" applyBorder="1" applyAlignment="1">
      <alignment horizontal="center"/>
    </xf>
    <xf numFmtId="177" fontId="57" fillId="10" borderId="7" xfId="9" applyNumberFormat="1" applyFont="1" applyFill="1" applyBorder="1"/>
    <xf numFmtId="176" fontId="58" fillId="10" borderId="122" xfId="1" applyNumberFormat="1" applyFont="1" applyFill="1" applyBorder="1"/>
    <xf numFmtId="176" fontId="65" fillId="10" borderId="122" xfId="1" applyNumberFormat="1" applyFont="1" applyFill="1" applyBorder="1" applyAlignment="1">
      <alignment shrinkToFit="1"/>
    </xf>
    <xf numFmtId="37" fontId="58" fillId="10" borderId="102" xfId="0" applyFont="1" applyFill="1" applyBorder="1" applyAlignment="1">
      <alignment vertical="center" wrapText="1"/>
    </xf>
    <xf numFmtId="37" fontId="58" fillId="10" borderId="102" xfId="0" applyFont="1" applyFill="1" applyBorder="1"/>
    <xf numFmtId="37" fontId="58" fillId="10" borderId="102" xfId="0" applyFont="1" applyFill="1" applyBorder="1" applyAlignment="1">
      <alignment horizontal="center"/>
    </xf>
    <xf numFmtId="177" fontId="58" fillId="10" borderId="102" xfId="9" applyNumberFormat="1" applyFont="1" applyFill="1" applyBorder="1"/>
    <xf numFmtId="176" fontId="57" fillId="10" borderId="123" xfId="1" applyNumberFormat="1" applyFont="1" applyFill="1" applyBorder="1" applyAlignment="1">
      <alignment horizontal="center"/>
    </xf>
    <xf numFmtId="37" fontId="58" fillId="10" borderId="3" xfId="0" applyFont="1" applyFill="1" applyBorder="1"/>
    <xf numFmtId="37" fontId="58" fillId="10" borderId="3" xfId="0" applyFont="1" applyFill="1" applyBorder="1" applyAlignment="1">
      <alignment horizontal="center"/>
    </xf>
    <xf numFmtId="37" fontId="58" fillId="10" borderId="116" xfId="0" applyFont="1" applyFill="1" applyBorder="1"/>
    <xf numFmtId="43" fontId="57" fillId="10" borderId="114" xfId="9" applyFont="1" applyFill="1" applyBorder="1"/>
    <xf numFmtId="37" fontId="57" fillId="10" borderId="52" xfId="0" applyFont="1" applyFill="1" applyBorder="1" applyAlignment="1">
      <alignment horizontal="center"/>
    </xf>
    <xf numFmtId="38" fontId="4" fillId="10" borderId="11" xfId="0" applyNumberFormat="1" applyFont="1" applyFill="1" applyBorder="1"/>
    <xf numFmtId="37" fontId="4" fillId="10" borderId="11" xfId="0" applyFont="1" applyFill="1" applyBorder="1"/>
    <xf numFmtId="177" fontId="4" fillId="10" borderId="11" xfId="9" applyNumberFormat="1" applyFont="1" applyFill="1" applyBorder="1"/>
    <xf numFmtId="176" fontId="7" fillId="10" borderId="92" xfId="1" applyNumberFormat="1" applyFont="1" applyFill="1" applyBorder="1"/>
    <xf numFmtId="176" fontId="59" fillId="10" borderId="123" xfId="1" applyNumberFormat="1" applyFont="1" applyFill="1" applyBorder="1"/>
    <xf numFmtId="177" fontId="4" fillId="10" borderId="15" xfId="9" applyNumberFormat="1" applyFont="1" applyFill="1" applyBorder="1"/>
    <xf numFmtId="177" fontId="4" fillId="10" borderId="12" xfId="9" applyNumberFormat="1" applyFont="1" applyFill="1" applyBorder="1"/>
    <xf numFmtId="37" fontId="46" fillId="0" borderId="129" xfId="0" applyFont="1" applyBorder="1" applyAlignment="1">
      <alignment horizontal="left" vertical="center" wrapText="1" indent="1"/>
    </xf>
    <xf numFmtId="37" fontId="46" fillId="0" borderId="0" xfId="0" applyFont="1" applyAlignment="1">
      <alignment horizontal="left" wrapText="1" indent="1"/>
    </xf>
    <xf numFmtId="37" fontId="57" fillId="11" borderId="114" xfId="0" applyFont="1" applyFill="1" applyBorder="1" applyAlignment="1">
      <alignment vertical="center" wrapText="1"/>
    </xf>
    <xf numFmtId="38" fontId="57" fillId="11" borderId="114" xfId="0" applyNumberFormat="1" applyFont="1" applyFill="1" applyBorder="1"/>
    <xf numFmtId="37" fontId="58" fillId="11" borderId="114" xfId="0" applyFont="1" applyFill="1" applyBorder="1" applyAlignment="1">
      <alignment horizontal="center"/>
    </xf>
    <xf numFmtId="177" fontId="57" fillId="11" borderId="114" xfId="9" applyNumberFormat="1" applyFont="1" applyFill="1" applyBorder="1"/>
    <xf numFmtId="0" fontId="27" fillId="0" borderId="81" xfId="6" applyFont="1" applyBorder="1" applyAlignment="1">
      <alignment horizontal="center"/>
    </xf>
    <xf numFmtId="0" fontId="27" fillId="0" borderId="33" xfId="6" applyFont="1" applyBorder="1" applyAlignment="1">
      <alignment horizontal="center"/>
    </xf>
    <xf numFmtId="0" fontId="37" fillId="0" borderId="32" xfId="6" applyFont="1" applyBorder="1" applyAlignment="1">
      <alignment horizontal="center"/>
    </xf>
    <xf numFmtId="0" fontId="27" fillId="0" borderId="82" xfId="6" applyFont="1" applyBorder="1" applyAlignment="1">
      <alignment horizontal="center"/>
    </xf>
    <xf numFmtId="15" fontId="54" fillId="7" borderId="32" xfId="6" applyNumberFormat="1" applyFont="1" applyFill="1" applyBorder="1" applyAlignment="1">
      <alignment horizontal="center"/>
    </xf>
    <xf numFmtId="15" fontId="54" fillId="7" borderId="82" xfId="6" applyNumberFormat="1" applyFont="1" applyFill="1" applyBorder="1" applyAlignment="1">
      <alignment horizontal="center"/>
    </xf>
    <xf numFmtId="0" fontId="38" fillId="0" borderId="30" xfId="6" applyFont="1" applyBorder="1" applyAlignment="1">
      <alignment horizontal="center" vertical="center"/>
    </xf>
    <xf numFmtId="0" fontId="38" fillId="0" borderId="31" xfId="6" applyFont="1" applyBorder="1" applyAlignment="1">
      <alignment horizontal="center" vertical="center"/>
    </xf>
    <xf numFmtId="0" fontId="27" fillId="0" borderId="48" xfId="6" applyFont="1" applyBorder="1" applyAlignment="1">
      <alignment vertical="top" wrapText="1"/>
    </xf>
    <xf numFmtId="37" fontId="0" fillId="0" borderId="83" xfId="0" applyBorder="1" applyAlignment="1">
      <alignment vertical="top" wrapText="1"/>
    </xf>
    <xf numFmtId="37" fontId="0" fillId="0" borderId="47" xfId="0" applyBorder="1" applyAlignment="1">
      <alignment vertical="top" wrapText="1"/>
    </xf>
    <xf numFmtId="37" fontId="0" fillId="0" borderId="37" xfId="0" applyBorder="1" applyAlignment="1">
      <alignment vertical="top" wrapText="1"/>
    </xf>
    <xf numFmtId="37" fontId="0" fillId="0" borderId="0" xfId="0" applyAlignment="1">
      <alignment vertical="top" wrapText="1"/>
    </xf>
    <xf numFmtId="37" fontId="0" fillId="0" borderId="60" xfId="0" applyBorder="1" applyAlignment="1">
      <alignment vertical="top" wrapText="1"/>
    </xf>
    <xf numFmtId="0" fontId="32" fillId="0" borderId="84" xfId="6" applyFont="1" applyBorder="1" applyAlignment="1">
      <alignment horizontal="center"/>
    </xf>
    <xf numFmtId="0" fontId="32" fillId="0" borderId="83" xfId="6" applyFont="1" applyBorder="1" applyAlignment="1">
      <alignment horizontal="center"/>
    </xf>
    <xf numFmtId="0" fontId="32" fillId="0" borderId="85" xfId="6" applyFont="1" applyBorder="1" applyAlignment="1">
      <alignment horizontal="center"/>
    </xf>
    <xf numFmtId="0" fontId="27" fillId="0" borderId="32" xfId="6" applyFont="1" applyBorder="1" applyAlignment="1">
      <alignment horizontal="center"/>
    </xf>
    <xf numFmtId="0" fontId="23" fillId="0" borderId="30" xfId="6" applyFont="1" applyBorder="1" applyAlignment="1">
      <alignment horizontal="center"/>
    </xf>
    <xf numFmtId="0" fontId="23" fillId="0" borderId="31" xfId="6" applyFont="1" applyBorder="1" applyAlignment="1">
      <alignment horizontal="center"/>
    </xf>
    <xf numFmtId="37" fontId="25" fillId="0" borderId="73" xfId="0" applyFont="1" applyBorder="1" applyAlignment="1">
      <alignment horizontal="center" wrapText="1"/>
    </xf>
    <xf numFmtId="37" fontId="25" fillId="0" borderId="64" xfId="0" applyFont="1" applyBorder="1" applyAlignment="1">
      <alignment horizontal="center" wrapText="1"/>
    </xf>
    <xf numFmtId="37" fontId="25" fillId="0" borderId="74" xfId="0" applyFont="1" applyBorder="1" applyAlignment="1">
      <alignment horizontal="center" wrapText="1"/>
    </xf>
    <xf numFmtId="37" fontId="23" fillId="0" borderId="84" xfId="0" applyFont="1" applyBorder="1" applyAlignment="1">
      <alignment horizontal="center"/>
    </xf>
    <xf numFmtId="37" fontId="23" fillId="0" borderId="85" xfId="0" applyFont="1" applyBorder="1" applyAlignment="1">
      <alignment horizontal="center"/>
    </xf>
    <xf numFmtId="37" fontId="25" fillId="0" borderId="32" xfId="0" applyFont="1" applyBorder="1" applyAlignment="1">
      <alignment horizontal="center"/>
    </xf>
    <xf numFmtId="37" fontId="25" fillId="0" borderId="82" xfId="0" applyFont="1" applyBorder="1" applyAlignment="1">
      <alignment horizontal="center"/>
    </xf>
    <xf numFmtId="37" fontId="25" fillId="0" borderId="30" xfId="0" applyFont="1" applyBorder="1" applyAlignment="1">
      <alignment horizontal="center"/>
    </xf>
    <xf numFmtId="37" fontId="25" fillId="0" borderId="31" xfId="0" applyFont="1" applyBorder="1" applyAlignment="1">
      <alignment horizontal="center"/>
    </xf>
    <xf numFmtId="175" fontId="49" fillId="0" borderId="0" xfId="4" applyNumberFormat="1" applyFont="1" applyAlignment="1">
      <alignment horizontal="left"/>
    </xf>
    <xf numFmtId="0" fontId="49" fillId="0" borderId="0" xfId="4" applyFont="1" applyAlignment="1">
      <alignment wrapText="1"/>
    </xf>
    <xf numFmtId="37" fontId="0" fillId="0" borderId="0" xfId="0" applyAlignment="1">
      <alignment wrapText="1"/>
    </xf>
    <xf numFmtId="37" fontId="4" fillId="0" borderId="0" xfId="0" applyFont="1" applyAlignment="1">
      <alignment horizontal="left" wrapText="1"/>
    </xf>
    <xf numFmtId="166" fontId="63" fillId="2" borderId="55" xfId="7" applyFont="1" applyBorder="1" applyAlignment="1">
      <alignment wrapText="1"/>
    </xf>
    <xf numFmtId="37" fontId="63" fillId="0" borderId="55" xfId="0" applyFont="1" applyBorder="1" applyAlignment="1">
      <alignment wrapText="1"/>
    </xf>
    <xf numFmtId="37" fontId="46" fillId="0" borderId="129" xfId="0" applyFont="1" applyBorder="1" applyAlignment="1">
      <alignment horizontal="left" vertical="center" wrapText="1" indent="1"/>
    </xf>
    <xf numFmtId="37" fontId="46" fillId="0" borderId="0" xfId="0" applyFont="1" applyAlignment="1">
      <alignment horizontal="left" wrapText="1" indent="1"/>
    </xf>
    <xf numFmtId="166" fontId="59" fillId="2" borderId="19" xfId="7" applyFont="1" applyBorder="1"/>
    <xf numFmtId="37" fontId="0" fillId="0" borderId="130" xfId="0" applyBorder="1"/>
    <xf numFmtId="166" fontId="63" fillId="2" borderId="128" xfId="7" applyFont="1" applyBorder="1"/>
    <xf numFmtId="37" fontId="63" fillId="0" borderId="43" xfId="0" applyFont="1" applyBorder="1"/>
    <xf numFmtId="37" fontId="0" fillId="0" borderId="131" xfId="0" applyBorder="1"/>
    <xf numFmtId="166" fontId="63" fillId="2" borderId="132" xfId="7" applyFont="1" applyBorder="1"/>
    <xf numFmtId="37" fontId="63" fillId="0" borderId="133" xfId="0" applyFont="1" applyBorder="1"/>
    <xf numFmtId="37" fontId="0" fillId="0" borderId="134" xfId="0" applyBorder="1"/>
    <xf numFmtId="37" fontId="7" fillId="0" borderId="0" xfId="0" applyFont="1" applyAlignment="1">
      <alignment horizontal="center" vertical="center"/>
    </xf>
    <xf numFmtId="37" fontId="16" fillId="0" borderId="0" xfId="0" applyFont="1"/>
    <xf numFmtId="37" fontId="9" fillId="0" borderId="0" xfId="0" applyFont="1" applyAlignment="1">
      <alignment horizontal="center" vertical="center"/>
    </xf>
    <xf numFmtId="37" fontId="0" fillId="0" borderId="0" xfId="0" applyAlignment="1">
      <alignment horizontal="center" vertical="center"/>
    </xf>
    <xf numFmtId="37" fontId="4" fillId="0" borderId="0" xfId="0" applyFont="1" applyAlignment="1">
      <alignment horizontal="center" vertical="center"/>
    </xf>
    <xf numFmtId="37" fontId="0" fillId="0" borderId="0" xfId="0"/>
    <xf numFmtId="37" fontId="16" fillId="0" borderId="73" xfId="0" applyFont="1" applyBorder="1" applyAlignment="1">
      <alignment horizontal="center"/>
    </xf>
    <xf numFmtId="37" fontId="16" fillId="0" borderId="64" xfId="0" applyFont="1" applyBorder="1" applyAlignment="1">
      <alignment horizontal="center"/>
    </xf>
    <xf numFmtId="37" fontId="16" fillId="0" borderId="74" xfId="0" applyFont="1" applyBorder="1" applyAlignment="1">
      <alignment horizontal="center"/>
    </xf>
    <xf numFmtId="37" fontId="9" fillId="0" borderId="0" xfId="0" applyFont="1" applyAlignment="1">
      <alignment horizontal="center" vertical="center" wrapText="1"/>
    </xf>
    <xf numFmtId="37" fontId="4" fillId="0" borderId="0" xfId="0" applyFont="1" applyAlignment="1">
      <alignment horizontal="center" wrapText="1"/>
    </xf>
    <xf numFmtId="0" fontId="35" fillId="0" borderId="45" xfId="5" applyFont="1" applyBorder="1" applyAlignment="1">
      <alignment horizontal="center" vertical="center"/>
    </xf>
    <xf numFmtId="0" fontId="35" fillId="0" borderId="76" xfId="5" applyFont="1" applyBorder="1" applyAlignment="1">
      <alignment horizontal="center" vertical="center"/>
    </xf>
    <xf numFmtId="0" fontId="35" fillId="0" borderId="54" xfId="5" applyFont="1" applyBorder="1" applyAlignment="1">
      <alignment horizontal="center" vertical="center" wrapText="1"/>
    </xf>
    <xf numFmtId="0" fontId="35" fillId="0" borderId="55" xfId="5" applyFont="1" applyBorder="1" applyAlignment="1">
      <alignment horizontal="center" vertical="center" wrapText="1"/>
    </xf>
    <xf numFmtId="0" fontId="35" fillId="0" borderId="54" xfId="5" applyFont="1" applyBorder="1" applyAlignment="1">
      <alignment horizontal="center" wrapText="1"/>
    </xf>
    <xf numFmtId="0" fontId="35" fillId="0" borderId="55" xfId="5" applyFont="1" applyBorder="1" applyAlignment="1">
      <alignment horizontal="center" wrapText="1"/>
    </xf>
    <xf numFmtId="0" fontId="35" fillId="0" borderId="86" xfId="5" applyFont="1" applyBorder="1" applyAlignment="1">
      <alignment horizontal="center" vertical="center" wrapText="1"/>
    </xf>
    <xf numFmtId="0" fontId="35" fillId="0" borderId="75" xfId="5" applyFont="1" applyBorder="1" applyAlignment="1">
      <alignment horizontal="center" vertical="center" wrapText="1"/>
    </xf>
    <xf numFmtId="0" fontId="35" fillId="0" borderId="87" xfId="5" applyFont="1" applyBorder="1" applyAlignment="1">
      <alignment horizontal="center" vertical="center"/>
    </xf>
    <xf numFmtId="0" fontId="35" fillId="0" borderId="72" xfId="5" applyFont="1" applyBorder="1" applyAlignment="1">
      <alignment horizontal="center" vertical="center"/>
    </xf>
    <xf numFmtId="0" fontId="35" fillId="0" borderId="87" xfId="5" applyFont="1" applyBorder="1" applyAlignment="1">
      <alignment horizontal="center" vertical="center" wrapText="1"/>
    </xf>
    <xf numFmtId="0" fontId="35" fillId="0" borderId="72" xfId="5" applyFont="1" applyBorder="1" applyAlignment="1">
      <alignment horizontal="center" vertical="center" wrapText="1"/>
    </xf>
    <xf numFmtId="37" fontId="44" fillId="0" borderId="0" xfId="0" applyFont="1" applyBorder="1" applyAlignment="1" applyProtection="1">
      <alignment horizontal="center"/>
      <protection locked="0"/>
    </xf>
    <xf numFmtId="37" fontId="55" fillId="0" borderId="0" xfId="0" applyFont="1" applyBorder="1" applyAlignment="1" applyProtection="1">
      <alignment horizontal="left"/>
      <protection locked="0"/>
    </xf>
    <xf numFmtId="37" fontId="44" fillId="0" borderId="0" xfId="0" applyFont="1" applyBorder="1" applyAlignment="1" applyProtection="1">
      <alignment horizontal="left"/>
      <protection locked="0"/>
    </xf>
    <xf numFmtId="37" fontId="58" fillId="10" borderId="113" xfId="0" applyFont="1" applyFill="1" applyBorder="1" applyAlignment="1">
      <alignment vertical="center" wrapText="1"/>
    </xf>
    <xf numFmtId="37" fontId="58" fillId="10" borderId="114" xfId="0" applyFont="1" applyFill="1" applyBorder="1" applyAlignment="1">
      <alignment vertical="center" wrapText="1"/>
    </xf>
    <xf numFmtId="177" fontId="57" fillId="10" borderId="0" xfId="9" applyNumberFormat="1" applyFont="1" applyFill="1" applyBorder="1"/>
    <xf numFmtId="37" fontId="57" fillId="10" borderId="114" xfId="0" applyFont="1" applyFill="1" applyBorder="1" applyAlignment="1">
      <alignment vertical="center" wrapText="1"/>
    </xf>
    <xf numFmtId="37" fontId="59" fillId="10" borderId="114" xfId="0" applyFont="1" applyFill="1" applyBorder="1" applyAlignment="1">
      <alignment vertical="center" wrapText="1"/>
    </xf>
    <xf numFmtId="38" fontId="59" fillId="10" borderId="114" xfId="0" applyNumberFormat="1" applyFont="1" applyFill="1" applyBorder="1"/>
    <xf numFmtId="37" fontId="59" fillId="10" borderId="114" xfId="0" applyFont="1" applyFill="1" applyBorder="1" applyAlignment="1">
      <alignment horizontal="center"/>
    </xf>
    <xf numFmtId="37" fontId="16" fillId="0" borderId="24" xfId="0" applyFont="1" applyBorder="1" applyAlignment="1">
      <alignment vertical="center" wrapText="1"/>
    </xf>
    <xf numFmtId="166" fontId="14" fillId="2" borderId="135" xfId="7" applyBorder="1"/>
    <xf numFmtId="176" fontId="14" fillId="2" borderId="136" xfId="1" applyNumberFormat="1" applyFont="1" applyFill="1" applyBorder="1"/>
    <xf numFmtId="37" fontId="16" fillId="0" borderId="50" xfId="0" applyFont="1" applyBorder="1" applyAlignment="1">
      <alignment vertical="center" wrapText="1"/>
    </xf>
    <xf numFmtId="166" fontId="14" fillId="2" borderId="0" xfId="7" applyBorder="1"/>
    <xf numFmtId="176" fontId="14" fillId="2" borderId="137" xfId="1" applyNumberFormat="1" applyFont="1" applyFill="1" applyBorder="1"/>
    <xf numFmtId="37" fontId="46" fillId="0" borderId="50" xfId="0" applyFont="1" applyBorder="1" applyAlignment="1">
      <alignment horizontal="left" vertical="center" wrapText="1" indent="1"/>
    </xf>
    <xf numFmtId="37" fontId="46" fillId="0" borderId="0" xfId="0" applyFont="1" applyBorder="1" applyAlignment="1">
      <alignment horizontal="left" wrapText="1" indent="1"/>
    </xf>
    <xf numFmtId="166" fontId="59" fillId="0" borderId="138" xfId="7" applyFont="1" applyFill="1" applyBorder="1" applyAlignment="1" applyProtection="1">
      <alignment horizontal="left"/>
      <protection locked="0"/>
    </xf>
    <xf numFmtId="176" fontId="59" fillId="0" borderId="139" xfId="1" applyNumberFormat="1" applyFont="1" applyFill="1" applyBorder="1"/>
    <xf numFmtId="166" fontId="59" fillId="2" borderId="140" xfId="7" applyFont="1" applyBorder="1"/>
    <xf numFmtId="176" fontId="57" fillId="2" borderId="141" xfId="1" applyNumberFormat="1" applyFont="1" applyFill="1" applyBorder="1"/>
    <xf numFmtId="166" fontId="59" fillId="0" borderId="51" xfId="7" applyFont="1" applyFill="1" applyBorder="1"/>
    <xf numFmtId="176" fontId="59" fillId="0" borderId="142" xfId="1" applyNumberFormat="1" applyFont="1" applyFill="1" applyBorder="1"/>
  </cellXfs>
  <cellStyles count="10">
    <cellStyle name="Comma" xfId="9" builtinId="3"/>
    <cellStyle name="Currency" xfId="1" builtinId="4"/>
    <cellStyle name="Normal" xfId="0" builtinId="0"/>
    <cellStyle name="Normal_193697NC" xfId="2" xr:uid="{00000000-0005-0000-0000-000002000000}"/>
    <cellStyle name="Normal_A" xfId="3" xr:uid="{00000000-0005-0000-0000-000003000000}"/>
    <cellStyle name="Normal_A-#### - Client - Address - Floor or Suite" xfId="4" xr:uid="{00000000-0005-0000-0000-000004000000}"/>
    <cellStyle name="Normal_KIT" xfId="5" xr:uid="{00000000-0005-0000-0000-000005000000}"/>
    <cellStyle name="Normal_RFEFORM" xfId="6" xr:uid="{00000000-0005-0000-0000-000006000000}"/>
    <cellStyle name="Normal_Summary Sheet (2)" xfId="7" xr:uid="{00000000-0005-0000-0000-000007000000}"/>
    <cellStyle name="Percent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16</xdr:row>
      <xdr:rowOff>49530</xdr:rowOff>
    </xdr:from>
    <xdr:to>
      <xdr:col>6</xdr:col>
      <xdr:colOff>0</xdr:colOff>
      <xdr:row>17</xdr:row>
      <xdr:rowOff>85725</xdr:rowOff>
    </xdr:to>
    <xdr:sp macro="" textlink="">
      <xdr:nvSpPr>
        <xdr:cNvPr id="3448" name="Rectangle 2">
          <a:extLst>
            <a:ext uri="{FF2B5EF4-FFF2-40B4-BE49-F238E27FC236}">
              <a16:creationId xmlns:a16="http://schemas.microsoft.com/office/drawing/2014/main" id="{FFCC6864-CE19-4EB5-8599-8D9D6E14E093}"/>
            </a:ext>
          </a:extLst>
        </xdr:cNvPr>
        <xdr:cNvSpPr>
          <a:spLocks noChangeArrowheads="1"/>
        </xdr:cNvSpPr>
      </xdr:nvSpPr>
      <xdr:spPr bwMode="auto">
        <a:xfrm>
          <a:off x="8294370" y="5280660"/>
          <a:ext cx="0" cy="339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16</xdr:row>
      <xdr:rowOff>45720</xdr:rowOff>
    </xdr:from>
    <xdr:to>
      <xdr:col>6</xdr:col>
      <xdr:colOff>0</xdr:colOff>
      <xdr:row>17</xdr:row>
      <xdr:rowOff>28575</xdr:rowOff>
    </xdr:to>
    <xdr:sp macro="" textlink="">
      <xdr:nvSpPr>
        <xdr:cNvPr id="3449" name="Rectangle 3">
          <a:extLst>
            <a:ext uri="{FF2B5EF4-FFF2-40B4-BE49-F238E27FC236}">
              <a16:creationId xmlns:a16="http://schemas.microsoft.com/office/drawing/2014/main" id="{CF509B0D-D898-4E1E-A3AD-3CAFB8ECD550}"/>
            </a:ext>
          </a:extLst>
        </xdr:cNvPr>
        <xdr:cNvSpPr>
          <a:spLocks noChangeArrowheads="1"/>
        </xdr:cNvSpPr>
      </xdr:nvSpPr>
      <xdr:spPr bwMode="auto">
        <a:xfrm>
          <a:off x="8294370" y="5276850"/>
          <a:ext cx="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17</xdr:row>
      <xdr:rowOff>7620</xdr:rowOff>
    </xdr:from>
    <xdr:to>
      <xdr:col>6</xdr:col>
      <xdr:colOff>0</xdr:colOff>
      <xdr:row>17</xdr:row>
      <xdr:rowOff>114300</xdr:rowOff>
    </xdr:to>
    <xdr:sp macro="" textlink="">
      <xdr:nvSpPr>
        <xdr:cNvPr id="3450" name="Rectangle 4">
          <a:extLst>
            <a:ext uri="{FF2B5EF4-FFF2-40B4-BE49-F238E27FC236}">
              <a16:creationId xmlns:a16="http://schemas.microsoft.com/office/drawing/2014/main" id="{EE9B87D5-5407-4B9D-9AE9-3AECD80CD91B}"/>
            </a:ext>
          </a:extLst>
        </xdr:cNvPr>
        <xdr:cNvSpPr>
          <a:spLocks noChangeArrowheads="1"/>
        </xdr:cNvSpPr>
      </xdr:nvSpPr>
      <xdr:spPr bwMode="auto">
        <a:xfrm>
          <a:off x="8294370" y="5543550"/>
          <a:ext cx="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1150620</xdr:colOff>
      <xdr:row>0</xdr:row>
      <xdr:rowOff>209550</xdr:rowOff>
    </xdr:to>
    <xdr:pic>
      <xdr:nvPicPr>
        <xdr:cNvPr id="3451" name="Picture 6" descr="logo2">
          <a:extLst>
            <a:ext uri="{FF2B5EF4-FFF2-40B4-BE49-F238E27FC236}">
              <a16:creationId xmlns:a16="http://schemas.microsoft.com/office/drawing/2014/main" id="{35EF6A67-C20B-4B24-94EA-423882CF2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" y="0"/>
          <a:ext cx="233172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8</xdr:col>
      <xdr:colOff>482130</xdr:colOff>
      <xdr:row>5</xdr:row>
      <xdr:rowOff>110490</xdr:rowOff>
    </xdr:to>
    <xdr:pic>
      <xdr:nvPicPr>
        <xdr:cNvPr id="64523" name="Picture 1" descr="logo2">
          <a:extLst>
            <a:ext uri="{FF2B5EF4-FFF2-40B4-BE49-F238E27FC236}">
              <a16:creationId xmlns:a16="http://schemas.microsoft.com/office/drawing/2014/main" id="{499927DF-A1FE-4F84-A55D-BA0CA517D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10"/>
          <a:ext cx="6189510" cy="735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790575</xdr:colOff>
      <xdr:row>0</xdr:row>
      <xdr:rowOff>66674</xdr:rowOff>
    </xdr:from>
    <xdr:to>
      <xdr:col>5</xdr:col>
      <xdr:colOff>285750</xdr:colOff>
      <xdr:row>1</xdr:row>
      <xdr:rowOff>28575</xdr:rowOff>
    </xdr:to>
    <xdr:pic>
      <xdr:nvPicPr>
        <xdr:cNvPr id="2082" name="Picture 1" descr="logo2">
          <a:extLst>
            <a:ext uri="{FF2B5EF4-FFF2-40B4-BE49-F238E27FC236}">
              <a16:creationId xmlns:a16="http://schemas.microsoft.com/office/drawing/2014/main" id="{5AF8B065-EB58-40E3-95B2-9B86A0B81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66674"/>
          <a:ext cx="65151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441325</xdr:colOff>
      <xdr:row>0</xdr:row>
      <xdr:rowOff>0</xdr:rowOff>
    </xdr:from>
    <xdr:to>
      <xdr:col>2</xdr:col>
      <xdr:colOff>6298565</xdr:colOff>
      <xdr:row>2</xdr:row>
      <xdr:rowOff>190500</xdr:rowOff>
    </xdr:to>
    <xdr:pic>
      <xdr:nvPicPr>
        <xdr:cNvPr id="2" name="Picture 1" descr="logo2">
          <a:extLst>
            <a:ext uri="{FF2B5EF4-FFF2-40B4-BE49-F238E27FC236}">
              <a16:creationId xmlns:a16="http://schemas.microsoft.com/office/drawing/2014/main" id="{A3613295-BAB9-4213-9D38-6BD2C0216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325" y="0"/>
          <a:ext cx="849249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</xdr:colOff>
      <xdr:row>1</xdr:row>
      <xdr:rowOff>7620</xdr:rowOff>
    </xdr:to>
    <xdr:pic>
      <xdr:nvPicPr>
        <xdr:cNvPr id="62480" name="Picture 1" descr="logo2">
          <a:extLst>
            <a:ext uri="{FF2B5EF4-FFF2-40B4-BE49-F238E27FC236}">
              <a16:creationId xmlns:a16="http://schemas.microsoft.com/office/drawing/2014/main" id="{26546356-310A-4D94-9491-C34FC9762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21767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</xdr:col>
      <xdr:colOff>5162550</xdr:colOff>
      <xdr:row>1</xdr:row>
      <xdr:rowOff>247650</xdr:rowOff>
    </xdr:to>
    <xdr:pic>
      <xdr:nvPicPr>
        <xdr:cNvPr id="12305" name="Picture 1" descr="logo2">
          <a:extLst>
            <a:ext uri="{FF2B5EF4-FFF2-40B4-BE49-F238E27FC236}">
              <a16:creationId xmlns:a16="http://schemas.microsoft.com/office/drawing/2014/main" id="{4A6DADE7-2B58-4B61-BC9F-E46A72280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53721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</xdr:colOff>
      <xdr:row>0</xdr:row>
      <xdr:rowOff>85090</xdr:rowOff>
    </xdr:from>
    <xdr:to>
      <xdr:col>7</xdr:col>
      <xdr:colOff>746760</xdr:colOff>
      <xdr:row>1</xdr:row>
      <xdr:rowOff>15240</xdr:rowOff>
    </xdr:to>
    <xdr:pic>
      <xdr:nvPicPr>
        <xdr:cNvPr id="1168" name="Picture 1" descr="logo2">
          <a:extLst>
            <a:ext uri="{FF2B5EF4-FFF2-40B4-BE49-F238E27FC236}">
              <a16:creationId xmlns:a16="http://schemas.microsoft.com/office/drawing/2014/main" id="{563F0F11-D79A-4CBC-9A44-97200FF7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" y="85090"/>
          <a:ext cx="9301480" cy="1022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209550</xdr:colOff>
      <xdr:row>0</xdr:row>
      <xdr:rowOff>209550</xdr:rowOff>
    </xdr:to>
    <xdr:pic>
      <xdr:nvPicPr>
        <xdr:cNvPr id="63504" name="Picture 1" descr="logo2">
          <a:extLst>
            <a:ext uri="{FF2B5EF4-FFF2-40B4-BE49-F238E27FC236}">
              <a16:creationId xmlns:a16="http://schemas.microsoft.com/office/drawing/2014/main" id="{EC265DD5-A899-4BE8-B5A4-9BFA1D272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924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9</xdr:col>
      <xdr:colOff>558801</xdr:colOff>
      <xdr:row>2</xdr:row>
      <xdr:rowOff>133350</xdr:rowOff>
    </xdr:to>
    <xdr:pic>
      <xdr:nvPicPr>
        <xdr:cNvPr id="16415" name="Picture 2" descr="logo2">
          <a:extLst>
            <a:ext uri="{FF2B5EF4-FFF2-40B4-BE49-F238E27FC236}">
              <a16:creationId xmlns:a16="http://schemas.microsoft.com/office/drawing/2014/main" id="{890BE563-D413-4A15-AA5D-EEC09DE04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1636375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</xdr:colOff>
      <xdr:row>0</xdr:row>
      <xdr:rowOff>30480</xdr:rowOff>
    </xdr:from>
    <xdr:to>
      <xdr:col>2</xdr:col>
      <xdr:colOff>236220</xdr:colOff>
      <xdr:row>1</xdr:row>
      <xdr:rowOff>26670</xdr:rowOff>
    </xdr:to>
    <xdr:pic>
      <xdr:nvPicPr>
        <xdr:cNvPr id="59398" name="Picture 1" descr="logo2">
          <a:extLst>
            <a:ext uri="{FF2B5EF4-FFF2-40B4-BE49-F238E27FC236}">
              <a16:creationId xmlns:a16="http://schemas.microsoft.com/office/drawing/2014/main" id="{0C3C2568-F4E5-42F2-B87C-E37643147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" y="30480"/>
          <a:ext cx="3928110" cy="651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Year%202017/17-031%20589%2011th%20Avenue/Proposals%20and%20Budgets/17-031%20589%2011th%20Avenue%20rev%2004171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Year%202017/17-031%20589%2011th%20Avenue/Proposals%20and%20Budgets/13-0%23%23%23%20-%20Proposal%20Template%20-%202009%20-%20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yan\My%20Documents\Template%20Propos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stimating/10-0200's/10-0290%20-%20GIC%20-%20335%20Madison%20Ave,%2024th%20Floor/Proposals%20and%20Budgets/Copy%20of%2009-%23%23%23%23%20-%20Proposal%20Template%20-%202009%20-%20NEW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struction\BidGenie\esttemp2bakfilter2.XL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E"/>
      <sheetName val="RFELINK"/>
      <sheetName val="LETTER (3)"/>
      <sheetName val="LETTER (2)"/>
      <sheetName val="Summary Sheet "/>
      <sheetName val="Bid Comparison "/>
      <sheetName val="Notes &amp; Clarifications"/>
      <sheetName val="estimate"/>
      <sheetName val="General Conditions"/>
      <sheetName val="Kit"/>
      <sheetName val="RFI"/>
      <sheetName val="Sheet2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et-Up Page"/>
      <sheetName val="LETTER"/>
      <sheetName val="Final Breakdown Sheet"/>
      <sheetName val="Budget Breakdown"/>
      <sheetName val="SUMMARY"/>
      <sheetName val="Notes &amp; Clarifications"/>
      <sheetName val="COVER SHEET"/>
      <sheetName val="INVITE FORM"/>
      <sheetName val="RFP"/>
      <sheetName val="RFI"/>
      <sheetName val="TRANSMITTAL"/>
      <sheetName val="BACKSHEET"/>
      <sheetName val="DRAWING LIST"/>
      <sheetName val="Cover Sheet (2)"/>
      <sheetName val="Summary (2)"/>
      <sheetName val="Alternates"/>
      <sheetName val="Breakdown"/>
      <sheetName val="Labor Rates"/>
      <sheetName val="LABOR"/>
      <sheetName val="ALTERNATE BACKSHEET"/>
      <sheetName val="LATE RFP"/>
      <sheetName val="RFE"/>
      <sheetName val="RFELINK"/>
      <sheetName val="Proposal Letter"/>
      <sheetName val="General Conditions"/>
      <sheetName val="Kit"/>
      <sheetName val="Summary Shee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Breakdown"/>
      <sheetName val="Breakdown Summary"/>
    </sheetNames>
    <sheetDataSet>
      <sheetData sheetId="0" refreshError="1">
        <row r="9">
          <cell r="K9">
            <v>0</v>
          </cell>
        </row>
        <row r="10">
          <cell r="K10">
            <v>0</v>
          </cell>
        </row>
        <row r="11">
          <cell r="A11">
            <v>1527</v>
          </cell>
          <cell r="B11" t="str">
            <v>Project Staffing and Special Protection</v>
          </cell>
          <cell r="K11">
            <v>0</v>
          </cell>
        </row>
        <row r="12">
          <cell r="C12" t="str">
            <v>Project Manager</v>
          </cell>
          <cell r="E12" t="str">
            <v>DAY</v>
          </cell>
          <cell r="G12">
            <v>850</v>
          </cell>
          <cell r="H12">
            <v>0</v>
          </cell>
          <cell r="K12">
            <v>0</v>
          </cell>
        </row>
        <row r="13">
          <cell r="C13" t="str">
            <v>Project Superintendant</v>
          </cell>
          <cell r="E13" t="str">
            <v>DAY</v>
          </cell>
          <cell r="G13">
            <v>850</v>
          </cell>
          <cell r="H13">
            <v>0</v>
          </cell>
          <cell r="K13">
            <v>0</v>
          </cell>
        </row>
        <row r="14">
          <cell r="C14" t="str">
            <v>Project Laborer</v>
          </cell>
          <cell r="E14" t="str">
            <v>DAY</v>
          </cell>
          <cell r="G14">
            <v>720</v>
          </cell>
          <cell r="H14">
            <v>0</v>
          </cell>
          <cell r="K14">
            <v>0</v>
          </cell>
        </row>
        <row r="15">
          <cell r="C15" t="str">
            <v>Special Protection</v>
          </cell>
          <cell r="G15" t="str">
            <v xml:space="preserve"> </v>
          </cell>
          <cell r="H15">
            <v>0</v>
          </cell>
          <cell r="K15">
            <v>0</v>
          </cell>
        </row>
        <row r="16">
          <cell r="J16">
            <v>0</v>
          </cell>
          <cell r="K16">
            <v>0</v>
          </cell>
        </row>
        <row r="17">
          <cell r="A17">
            <v>2050</v>
          </cell>
          <cell r="B17" t="str">
            <v>Demolition</v>
          </cell>
          <cell r="K17">
            <v>0</v>
          </cell>
        </row>
        <row r="18">
          <cell r="C18" t="str">
            <v>WALLS:</v>
          </cell>
          <cell r="K18">
            <v>0</v>
          </cell>
        </row>
        <row r="19">
          <cell r="C19" t="str">
            <v>Remove drywall partitions</v>
          </cell>
          <cell r="E19" t="str">
            <v>LF</v>
          </cell>
          <cell r="G19">
            <v>10</v>
          </cell>
          <cell r="H19">
            <v>0</v>
          </cell>
          <cell r="K19">
            <v>0</v>
          </cell>
        </row>
        <row r="20">
          <cell r="C20" t="str">
            <v>Remove Gypsum Block Walls</v>
          </cell>
          <cell r="E20" t="str">
            <v>LF</v>
          </cell>
          <cell r="G20">
            <v>20</v>
          </cell>
          <cell r="H20">
            <v>0</v>
          </cell>
          <cell r="K20">
            <v>0</v>
          </cell>
        </row>
        <row r="21">
          <cell r="C21" t="str">
            <v>Remove 4-ply Sheetrock Walls</v>
          </cell>
          <cell r="E21" t="str">
            <v>LF</v>
          </cell>
          <cell r="G21">
            <v>15</v>
          </cell>
          <cell r="H21">
            <v>0</v>
          </cell>
          <cell r="K21">
            <v>0</v>
          </cell>
        </row>
        <row r="22">
          <cell r="C22" t="str">
            <v>Remove masonry walls (8-12" thick)</v>
          </cell>
          <cell r="E22" t="str">
            <v>LF</v>
          </cell>
          <cell r="G22">
            <v>40</v>
          </cell>
          <cell r="H22">
            <v>0</v>
          </cell>
          <cell r="K22">
            <v>0</v>
          </cell>
        </row>
        <row r="23">
          <cell r="C23" t="str">
            <v>Remove metal &amp; glass partitions</v>
          </cell>
          <cell r="E23" t="str">
            <v>LF</v>
          </cell>
          <cell r="G23">
            <v>10</v>
          </cell>
          <cell r="H23">
            <v>0</v>
          </cell>
          <cell r="K23">
            <v>0</v>
          </cell>
        </row>
        <row r="24">
          <cell r="C24" t="str">
            <v>Strip ceramic tile from walls</v>
          </cell>
          <cell r="E24" t="str">
            <v>SF</v>
          </cell>
          <cell r="G24">
            <v>2.4500000000000002</v>
          </cell>
          <cell r="H24">
            <v>0</v>
          </cell>
          <cell r="K24">
            <v>0</v>
          </cell>
        </row>
        <row r="25">
          <cell r="C25" t="str">
            <v>Remove drywall column covers</v>
          </cell>
          <cell r="E25" t="str">
            <v>EA</v>
          </cell>
          <cell r="G25">
            <v>100</v>
          </cell>
          <cell r="H25">
            <v>0</v>
          </cell>
          <cell r="K25">
            <v>0</v>
          </cell>
        </row>
        <row r="26">
          <cell r="C26" t="str">
            <v>Remove ceramic tile flooring</v>
          </cell>
          <cell r="E26" t="str">
            <v>SF</v>
          </cell>
          <cell r="G26">
            <v>3.5</v>
          </cell>
          <cell r="H26">
            <v>0</v>
          </cell>
          <cell r="K26">
            <v>0</v>
          </cell>
        </row>
        <row r="27">
          <cell r="C27" t="str">
            <v>Remove  door &amp; frame in masonry wall</v>
          </cell>
          <cell r="E27" t="str">
            <v>EA</v>
          </cell>
          <cell r="G27">
            <v>150</v>
          </cell>
          <cell r="H27">
            <v>0</v>
          </cell>
          <cell r="K27">
            <v>0</v>
          </cell>
        </row>
        <row r="28">
          <cell r="C28" t="str">
            <v>Chop opening in masonry wall</v>
          </cell>
          <cell r="E28" t="str">
            <v>EA</v>
          </cell>
          <cell r="G28">
            <v>250</v>
          </cell>
          <cell r="H28">
            <v>0</v>
          </cell>
          <cell r="K28">
            <v>0</v>
          </cell>
        </row>
        <row r="29">
          <cell r="C29" t="str">
            <v>Create beam pocket in masonry wall</v>
          </cell>
          <cell r="E29" t="str">
            <v>EA</v>
          </cell>
          <cell r="G29">
            <v>125</v>
          </cell>
          <cell r="H29">
            <v>0</v>
          </cell>
          <cell r="K29">
            <v>0</v>
          </cell>
        </row>
        <row r="30">
          <cell r="C30" t="str">
            <v>CEILINGS:</v>
          </cell>
          <cell r="K30">
            <v>0</v>
          </cell>
        </row>
        <row r="31">
          <cell r="C31" t="str">
            <v>Remove acoustic ceilings</v>
          </cell>
          <cell r="E31" t="str">
            <v>SF</v>
          </cell>
          <cell r="G31">
            <v>0.5</v>
          </cell>
          <cell r="H31">
            <v>0</v>
          </cell>
          <cell r="K31">
            <v>0</v>
          </cell>
        </row>
        <row r="32">
          <cell r="C32" t="str">
            <v>Remove sheetrock ceilings</v>
          </cell>
          <cell r="E32" t="str">
            <v>SF</v>
          </cell>
          <cell r="G32">
            <v>1</v>
          </cell>
          <cell r="H32">
            <v>0</v>
          </cell>
          <cell r="K32">
            <v>0</v>
          </cell>
        </row>
        <row r="33">
          <cell r="C33" t="str">
            <v>Remove plaster ceilings</v>
          </cell>
          <cell r="E33" t="str">
            <v>SF</v>
          </cell>
          <cell r="G33">
            <v>1.5</v>
          </cell>
          <cell r="H33">
            <v>0</v>
          </cell>
          <cell r="K33">
            <v>0</v>
          </cell>
        </row>
        <row r="34">
          <cell r="C34" t="str">
            <v>Remove blackiron only</v>
          </cell>
          <cell r="E34" t="str">
            <v>SF</v>
          </cell>
          <cell r="G34">
            <v>0.3</v>
          </cell>
          <cell r="H34">
            <v>0</v>
          </cell>
          <cell r="K34">
            <v>0</v>
          </cell>
        </row>
        <row r="35">
          <cell r="C35" t="str">
            <v xml:space="preserve">Remove sheetrock soffit and fascias </v>
          </cell>
          <cell r="E35" t="str">
            <v>LF</v>
          </cell>
          <cell r="G35">
            <v>1</v>
          </cell>
          <cell r="H35">
            <v>0</v>
          </cell>
          <cell r="K35">
            <v>0</v>
          </cell>
        </row>
        <row r="36">
          <cell r="C36" t="str">
            <v>Remove haul light fixtures</v>
          </cell>
          <cell r="E36" t="str">
            <v>EA</v>
          </cell>
          <cell r="G36">
            <v>5</v>
          </cell>
          <cell r="H36">
            <v>0</v>
          </cell>
          <cell r="K36">
            <v>0</v>
          </cell>
        </row>
        <row r="37">
          <cell r="C37" t="str">
            <v>Drop &amp; cart sprinkler piping</v>
          </cell>
          <cell r="E37" t="str">
            <v>SF</v>
          </cell>
          <cell r="G37">
            <v>0.25</v>
          </cell>
          <cell r="H37">
            <v>0</v>
          </cell>
          <cell r="K37">
            <v>0</v>
          </cell>
        </row>
        <row r="38">
          <cell r="C38" t="str">
            <v xml:space="preserve">Drop &amp; cart ductwork </v>
          </cell>
          <cell r="E38" t="str">
            <v>LF</v>
          </cell>
          <cell r="G38">
            <v>1</v>
          </cell>
          <cell r="H38">
            <v>0</v>
          </cell>
          <cell r="K38">
            <v>0</v>
          </cell>
        </row>
        <row r="39">
          <cell r="C39" t="str">
            <v xml:space="preserve">Drop &amp; cart ductwork </v>
          </cell>
          <cell r="E39" t="str">
            <v>SF</v>
          </cell>
          <cell r="G39">
            <v>0.5</v>
          </cell>
          <cell r="H39">
            <v>0</v>
          </cell>
          <cell r="K39">
            <v>0</v>
          </cell>
        </row>
        <row r="40">
          <cell r="C40" t="str">
            <v>Scrape fireproofing from metal deck</v>
          </cell>
          <cell r="E40" t="str">
            <v>SF</v>
          </cell>
          <cell r="G40">
            <v>5</v>
          </cell>
          <cell r="H40">
            <v>0</v>
          </cell>
          <cell r="K40">
            <v>0</v>
          </cell>
        </row>
        <row r="41">
          <cell r="C41" t="str">
            <v>Scrape fireproofing from trusses</v>
          </cell>
          <cell r="E41" t="str">
            <v>SF</v>
          </cell>
          <cell r="G41">
            <v>3</v>
          </cell>
          <cell r="H41">
            <v>0</v>
          </cell>
          <cell r="K41">
            <v>0</v>
          </cell>
        </row>
        <row r="42">
          <cell r="C42" t="str">
            <v>FLOORING:</v>
          </cell>
          <cell r="K42">
            <v>0</v>
          </cell>
        </row>
        <row r="43">
          <cell r="C43" t="str">
            <v>Remove ceramic tile flooring</v>
          </cell>
          <cell r="E43" t="str">
            <v>SF</v>
          </cell>
          <cell r="G43">
            <v>1</v>
          </cell>
          <cell r="H43">
            <v>0</v>
          </cell>
          <cell r="K43">
            <v>0</v>
          </cell>
        </row>
        <row r="44">
          <cell r="C44" t="str">
            <v>Remove vinyl floor tile</v>
          </cell>
          <cell r="E44" t="str">
            <v>SF</v>
          </cell>
          <cell r="G44">
            <v>0.6</v>
          </cell>
          <cell r="H44">
            <v>0</v>
          </cell>
          <cell r="K44">
            <v>0</v>
          </cell>
        </row>
        <row r="45">
          <cell r="C45" t="str">
            <v>Remove carpet &amp; pad</v>
          </cell>
          <cell r="E45" t="str">
            <v>SF</v>
          </cell>
          <cell r="G45">
            <v>0.5</v>
          </cell>
          <cell r="H45">
            <v>0</v>
          </cell>
          <cell r="K45">
            <v>0</v>
          </cell>
        </row>
        <row r="46">
          <cell r="C46" t="str">
            <v>Remove gluedown carpet &amp; scrape floor</v>
          </cell>
          <cell r="E46" t="str">
            <v>SF</v>
          </cell>
          <cell r="G46">
            <v>1</v>
          </cell>
          <cell r="H46">
            <v>0</v>
          </cell>
          <cell r="K46">
            <v>0</v>
          </cell>
        </row>
        <row r="47">
          <cell r="C47" t="str">
            <v>Remove wood flooring (per layer)</v>
          </cell>
          <cell r="E47" t="str">
            <v>SF</v>
          </cell>
          <cell r="G47">
            <v>1</v>
          </cell>
          <cell r="H47">
            <v>0</v>
          </cell>
          <cell r="K47">
            <v>0</v>
          </cell>
        </row>
        <row r="48">
          <cell r="C48" t="str">
            <v>Remove raised flooring</v>
          </cell>
          <cell r="E48" t="str">
            <v>SF</v>
          </cell>
          <cell r="G48">
            <v>1</v>
          </cell>
          <cell r="H48">
            <v>0</v>
          </cell>
          <cell r="K48">
            <v>0</v>
          </cell>
        </row>
        <row r="49">
          <cell r="C49" t="str">
            <v>Remove vinyl base</v>
          </cell>
          <cell r="E49" t="str">
            <v>LF</v>
          </cell>
          <cell r="G49">
            <v>0.1</v>
          </cell>
          <cell r="H49">
            <v>0</v>
          </cell>
          <cell r="K49">
            <v>0</v>
          </cell>
        </row>
        <row r="50">
          <cell r="C50" t="str">
            <v>Remove concrete slab (including sawcut)</v>
          </cell>
          <cell r="E50" t="str">
            <v>SF</v>
          </cell>
          <cell r="G50">
            <v>25</v>
          </cell>
          <cell r="H50">
            <v>0</v>
          </cell>
          <cell r="K50">
            <v>0</v>
          </cell>
        </row>
        <row r="51">
          <cell r="C51" t="str">
            <v>MISCELLANEOUS:</v>
          </cell>
          <cell r="K51">
            <v>0</v>
          </cell>
        </row>
        <row r="52">
          <cell r="C52" t="str">
            <v>Remove wood cabinets</v>
          </cell>
          <cell r="E52" t="str">
            <v>EA</v>
          </cell>
          <cell r="G52">
            <v>125</v>
          </cell>
          <cell r="H52">
            <v>0</v>
          </cell>
          <cell r="K52">
            <v>0</v>
          </cell>
        </row>
        <row r="53">
          <cell r="C53" t="str">
            <v>Cart plumbing fixtures</v>
          </cell>
          <cell r="D53">
            <v>0</v>
          </cell>
          <cell r="E53" t="str">
            <v>EA</v>
          </cell>
          <cell r="G53">
            <v>25</v>
          </cell>
          <cell r="H53">
            <v>0</v>
          </cell>
          <cell r="K53">
            <v>0</v>
          </cell>
        </row>
        <row r="54">
          <cell r="C54" t="str">
            <v>Remove shelving</v>
          </cell>
          <cell r="E54" t="str">
            <v>LF</v>
          </cell>
          <cell r="G54">
            <v>10</v>
          </cell>
          <cell r="H54">
            <v>0</v>
          </cell>
          <cell r="K54">
            <v>0</v>
          </cell>
        </row>
        <row r="55">
          <cell r="C55" t="str">
            <v xml:space="preserve">Remove metal stair (per floor) </v>
          </cell>
          <cell r="E55" t="str">
            <v>EA</v>
          </cell>
          <cell r="G55">
            <v>4500</v>
          </cell>
          <cell r="H55">
            <v>0</v>
          </cell>
          <cell r="K55">
            <v>0</v>
          </cell>
        </row>
        <row r="56">
          <cell r="C56" t="str">
            <v>Cut opening for duct in slab</v>
          </cell>
          <cell r="E56" t="str">
            <v>EA</v>
          </cell>
          <cell r="G56">
            <v>500</v>
          </cell>
          <cell r="H56">
            <v>0</v>
          </cell>
          <cell r="K56">
            <v>0</v>
          </cell>
        </row>
        <row r="57">
          <cell r="C57" t="str">
            <v>Demo A/C units (small)</v>
          </cell>
          <cell r="E57" t="str">
            <v>EA</v>
          </cell>
          <cell r="G57">
            <v>400</v>
          </cell>
          <cell r="H57">
            <v>0</v>
          </cell>
          <cell r="K57">
            <v>0</v>
          </cell>
        </row>
        <row r="58">
          <cell r="C58" t="str">
            <v>Remove toilet partitions and toilet and Accessories</v>
          </cell>
          <cell r="E58" t="str">
            <v>LS</v>
          </cell>
          <cell r="G58">
            <v>850</v>
          </cell>
          <cell r="H58">
            <v>0</v>
          </cell>
          <cell r="K58">
            <v>0</v>
          </cell>
        </row>
        <row r="59">
          <cell r="C59" t="str">
            <v>Remove stone base carefully and returned to the owner</v>
          </cell>
          <cell r="E59" t="str">
            <v>LF</v>
          </cell>
          <cell r="G59">
            <v>5</v>
          </cell>
          <cell r="H59">
            <v>0</v>
          </cell>
          <cell r="K59">
            <v>0</v>
          </cell>
        </row>
        <row r="60">
          <cell r="C60" t="str">
            <v>Remove convector covers</v>
          </cell>
          <cell r="E60" t="str">
            <v>LF</v>
          </cell>
          <cell r="G60">
            <v>5</v>
          </cell>
          <cell r="H60">
            <v>0</v>
          </cell>
          <cell r="K60">
            <v>0</v>
          </cell>
        </row>
        <row r="61">
          <cell r="C61" t="str">
            <v>Remove Millwork</v>
          </cell>
          <cell r="E61" t="str">
            <v>LS</v>
          </cell>
          <cell r="G61">
            <v>500</v>
          </cell>
          <cell r="H61">
            <v>0</v>
          </cell>
          <cell r="K61">
            <v>0</v>
          </cell>
        </row>
        <row r="62">
          <cell r="C62" t="str">
            <v>Remove blinds</v>
          </cell>
          <cell r="E62" t="str">
            <v>LS</v>
          </cell>
          <cell r="G62">
            <v>500</v>
          </cell>
          <cell r="H62">
            <v>0</v>
          </cell>
          <cell r="K62">
            <v>0</v>
          </cell>
        </row>
        <row r="63">
          <cell r="C63" t="str">
            <v xml:space="preserve">Minimum for demolition crew </v>
          </cell>
          <cell r="E63" t="str">
            <v>LS</v>
          </cell>
          <cell r="G63">
            <v>2500</v>
          </cell>
          <cell r="H63">
            <v>0</v>
          </cell>
          <cell r="K63">
            <v>0</v>
          </cell>
        </row>
        <row r="64">
          <cell r="C64" t="str">
            <v>Complete gut of space (up to 4000 sf per night)</v>
          </cell>
          <cell r="E64" t="str">
            <v>USF</v>
          </cell>
          <cell r="G64">
            <v>2.5</v>
          </cell>
          <cell r="H64">
            <v>0</v>
          </cell>
          <cell r="K64">
            <v>0</v>
          </cell>
        </row>
        <row r="65">
          <cell r="C65" t="str">
            <v>Demo standard steel canopy</v>
          </cell>
          <cell r="E65" t="str">
            <v>LS</v>
          </cell>
          <cell r="G65">
            <v>7500</v>
          </cell>
          <cell r="H65">
            <v>0</v>
          </cell>
          <cell r="K65">
            <v>0</v>
          </cell>
        </row>
        <row r="66">
          <cell r="C66" t="str">
            <v>Miscellaneous removals</v>
          </cell>
          <cell r="E66" t="str">
            <v>LS</v>
          </cell>
          <cell r="G66">
            <v>1500</v>
          </cell>
          <cell r="H66">
            <v>0</v>
          </cell>
          <cell r="K66">
            <v>0</v>
          </cell>
        </row>
        <row r="67">
          <cell r="J67">
            <v>0</v>
          </cell>
          <cell r="K67">
            <v>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-Up Page"/>
      <sheetName val="LETTER"/>
      <sheetName val="Page 2 (4)"/>
      <sheetName val="Page 2 (3)"/>
      <sheetName val="Budget Breakdown"/>
      <sheetName val="Notes &amp; Clarifications"/>
      <sheetName val="COVER SHEET"/>
      <sheetName val="INVITE FORM"/>
      <sheetName val="RFP"/>
      <sheetName val="RFI"/>
      <sheetName val="TRANSMITTAL"/>
      <sheetName val="BACKSHEET"/>
      <sheetName val="DRAWING LIST"/>
      <sheetName val="SUMMARY"/>
      <sheetName val="Cover Sheet (2)"/>
      <sheetName val="Summary (2)"/>
      <sheetName val="Alternates"/>
      <sheetName val="Breakdown"/>
      <sheetName val="Labor Rates"/>
      <sheetName val="LABOR"/>
      <sheetName val="ALTERNATE BACKSHEET"/>
      <sheetName val="LATE RFP"/>
      <sheetName val="RFE"/>
      <sheetName val="RFELINK"/>
      <sheetName val="Proposal Letter"/>
      <sheetName val="General Conditions"/>
      <sheetName val="Kit"/>
      <sheetName val="Summary Shee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E"/>
      <sheetName val="RFELINK"/>
      <sheetName val="Summary Sheet "/>
      <sheetName val="Notes &amp; Clarifications"/>
      <sheetName val="Estimate"/>
      <sheetName val="General Conditions"/>
      <sheetName val="Bid Comparison "/>
      <sheetName val="K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FE" refreshOnLoad="1" removeDataOnSave="1" connectionId="1" xr16:uid="{00000000-0016-0000-0100-000000000000}" autoFormatId="16" applyNumberFormats="0" applyBorderFormats="0" applyFontFormats="1" applyPatternFormats="1" applyAlignmentFormats="0" applyWidthHeightFormats="0">
  <queryTableRefresh nextId="51">
    <queryTableFields count="30">
      <queryTableField id="1" name="PropNum"/>
      <queryTableField id="2" name="Project Name"/>
      <queryTableField id="3" name="Address"/>
      <queryTableField id="4" name="Floor"/>
      <queryTableField id="5" name="JobNum"/>
      <queryTableField id="6" name="From"/>
      <queryTableField id="7" name="CreateDate"/>
      <queryTableField id="8" name="Estimator"/>
      <queryTableField id="9" name="DueDate"/>
      <queryTableField id="10" name="RFE_Type"/>
      <queryTableField id="11" name="BaseJob_ConCond"/>
      <queryTableField id="12" name="BaseJob_Insurance"/>
      <queryTableField id="13" name="BaseJob_Fee"/>
      <queryTableField id="14" name="CO_ConCond"/>
      <queryTableField id="15" name="CO_Insurance"/>
      <queryTableField id="16" name="CO_Fee"/>
      <queryTableField id="43" dataBound="0" fillFormulas="1"/>
      <queryTableField id="42" dataBound="0" fillFormulas="1"/>
      <queryTableField id="19" name="Client"/>
      <queryTableField id="20" name="Representative"/>
      <queryTableField id="21" name="Architect"/>
      <queryTableField id="22" name="Engineer"/>
      <queryTableField id="41" name="DueTime"/>
      <queryTableField id="44" name="PropNum"/>
      <queryTableField id="45" name="Executive"/>
      <queryTableField id="46" name="Manager"/>
      <queryTableField id="47" name="TypeRequest"/>
      <queryTableField id="48" name="UsableSQFootage"/>
      <queryTableField id="49" name="RegTableSQFootage"/>
      <queryTableField id="50" name="Remarks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FEContacts" refreshOnLoad="1" removeDataOnSave="1" connectionId="2" xr16:uid="{00000000-0016-0000-0100-000001000000}" autoFormatId="16" applyNumberFormats="0" applyBorderFormats="0" applyFontFormats="1" applyPatternFormats="1" applyAlignmentFormats="0" applyWidthHeightFormats="0">
  <queryTableRefresh nextId="19">
    <queryTableFields count="18">
      <queryTableField id="1" name="Contact"/>
      <queryTableField id="2" name="Type"/>
      <queryTableField id="3" name="Full Name"/>
      <queryTableField id="4" name="Address"/>
      <queryTableField id="5" name="Address2"/>
      <queryTableField id="6" name="City"/>
      <queryTableField id="7" name="State"/>
      <queryTableField id="8" name="Zip"/>
      <queryTableField id="9" name="Phone"/>
      <queryTableField id="10" name="Fax"/>
      <queryTableField id="11" name="Representative"/>
      <queryTableField id="12" name="Recipient"/>
      <queryTableField id="13" name="Assistant"/>
      <queryTableField id="14" name="Initials"/>
      <queryTableField id="15" name="Notes"/>
      <queryTableField id="16" name="Trade"/>
      <queryTableField id="17" name="Email"/>
      <queryTableField id="18" name="TLVendorID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J60"/>
  <sheetViews>
    <sheetView topLeftCell="A10" workbookViewId="0">
      <selection activeCell="E17" sqref="E17:F17"/>
    </sheetView>
    <sheetView topLeftCell="A16" workbookViewId="1">
      <selection activeCell="C22" sqref="C22"/>
    </sheetView>
  </sheetViews>
  <sheetFormatPr defaultColWidth="7.08984375" defaultRowHeight="15"/>
  <cols>
    <col min="1" max="1" width="1.76953125" style="80" customWidth="1"/>
    <col min="2" max="2" width="14.08984375" style="80" bestFit="1" customWidth="1"/>
    <col min="3" max="3" width="45.76953125" customWidth="1"/>
    <col min="4" max="4" width="2.6796875" style="80" customWidth="1"/>
    <col min="5" max="5" width="11.76953125" style="80" customWidth="1"/>
    <col min="6" max="6" width="22.6796875" style="80" customWidth="1"/>
    <col min="7" max="7" width="2.76953125" style="80" customWidth="1"/>
    <col min="8" max="16384" width="7.08984375" style="80"/>
  </cols>
  <sheetData>
    <row r="1" spans="1:6" ht="45" customHeight="1" thickBot="1">
      <c r="C1" s="79"/>
    </row>
    <row r="2" spans="1:6" ht="27" customHeight="1" thickTop="1">
      <c r="A2" s="82"/>
      <c r="B2" s="84" t="s">
        <v>71</v>
      </c>
      <c r="C2" s="223" t="s">
        <v>103</v>
      </c>
      <c r="D2" s="86"/>
      <c r="E2" s="258" t="s">
        <v>204</v>
      </c>
      <c r="F2" s="146"/>
    </row>
    <row r="3" spans="1:6" ht="22.8">
      <c r="A3" s="82"/>
      <c r="B3" s="95"/>
      <c r="C3" s="224" t="s">
        <v>104</v>
      </c>
      <c r="D3" s="82"/>
      <c r="E3" s="115" t="s">
        <v>191</v>
      </c>
      <c r="F3" s="145"/>
    </row>
    <row r="4" spans="1:6" ht="30" customHeight="1">
      <c r="A4" s="82"/>
      <c r="B4" s="95"/>
      <c r="C4" s="226" t="str">
        <f>+C8</f>
        <v>Town House Renovation</v>
      </c>
      <c r="D4" s="82"/>
      <c r="E4" s="82"/>
      <c r="F4" s="225" t="s">
        <v>329</v>
      </c>
    </row>
    <row r="5" spans="1:6" ht="12.9" thickBot="1">
      <c r="A5" s="82"/>
      <c r="B5" s="99"/>
      <c r="C5" s="117"/>
      <c r="D5" s="101"/>
      <c r="E5" s="101"/>
      <c r="F5" s="102"/>
    </row>
    <row r="6" spans="1:6" ht="15.9" thickTop="1" thickBot="1">
      <c r="A6" s="82"/>
      <c r="B6" s="82"/>
      <c r="C6" s="116"/>
      <c r="D6" s="83"/>
      <c r="E6" s="82"/>
      <c r="F6" s="82"/>
    </row>
    <row r="7" spans="1:6" ht="15.6" thickTop="1">
      <c r="A7" s="82"/>
      <c r="B7" s="84"/>
      <c r="C7" s="85"/>
      <c r="D7" s="86"/>
      <c r="E7" s="87" t="s">
        <v>105</v>
      </c>
      <c r="F7" s="88"/>
    </row>
    <row r="8" spans="1:6" ht="24" customHeight="1">
      <c r="A8" s="82"/>
      <c r="B8" s="109" t="s">
        <v>137</v>
      </c>
      <c r="C8" s="180" t="s">
        <v>654</v>
      </c>
      <c r="D8" s="82"/>
      <c r="E8" s="572"/>
      <c r="F8" s="573"/>
    </row>
    <row r="9" spans="1:6" ht="21" customHeight="1">
      <c r="A9" s="82"/>
      <c r="B9" s="109" t="s">
        <v>112</v>
      </c>
      <c r="C9" s="181" t="s">
        <v>224</v>
      </c>
      <c r="D9" s="82"/>
      <c r="E9" s="90" t="s">
        <v>106</v>
      </c>
      <c r="F9" s="123"/>
    </row>
    <row r="10" spans="1:6" ht="25.5" customHeight="1">
      <c r="A10" s="82"/>
      <c r="B10" s="109" t="s">
        <v>110</v>
      </c>
      <c r="C10" t="s">
        <v>225</v>
      </c>
      <c r="D10" s="82"/>
      <c r="E10" s="572"/>
      <c r="F10" s="573"/>
    </row>
    <row r="11" spans="1:6" ht="21.75" customHeight="1">
      <c r="A11" s="82"/>
      <c r="B11" s="109" t="s">
        <v>111</v>
      </c>
      <c r="C11" s="120"/>
      <c r="D11" s="82"/>
      <c r="E11" s="90" t="s">
        <v>107</v>
      </c>
      <c r="F11" s="123"/>
    </row>
    <row r="12" spans="1:6" ht="30" customHeight="1" thickBot="1">
      <c r="A12" s="82"/>
      <c r="B12" s="118"/>
      <c r="C12" s="89"/>
      <c r="D12" s="97"/>
      <c r="E12" s="572" t="e">
        <f>VLOOKUP(Projectmgr,contacts,3,FALSE)</f>
        <v>#N/A</v>
      </c>
      <c r="F12" s="573" t="e">
        <f>VLOOKUP([5]RFELINK!F5,contacts,4,FALSE)</f>
        <v>#N/A</v>
      </c>
    </row>
    <row r="13" spans="1:6" ht="31.5" customHeight="1">
      <c r="A13" s="82"/>
      <c r="B13" s="586" t="s">
        <v>203</v>
      </c>
      <c r="C13" s="587"/>
      <c r="D13" s="588"/>
      <c r="E13" s="92" t="s">
        <v>108</v>
      </c>
      <c r="F13" s="93"/>
    </row>
    <row r="14" spans="1:6" ht="34.5" customHeight="1" thickBot="1">
      <c r="A14" s="82"/>
      <c r="B14" s="109" t="s">
        <v>206</v>
      </c>
      <c r="C14" s="182" t="s">
        <v>227</v>
      </c>
      <c r="D14" s="82"/>
      <c r="E14" s="574" t="str">
        <f>+F4</f>
        <v>24-038C</v>
      </c>
      <c r="F14" s="575"/>
    </row>
    <row r="15" spans="1:6" ht="21.75" customHeight="1">
      <c r="A15" s="82"/>
      <c r="B15" s="109" t="s">
        <v>129</v>
      </c>
      <c r="C15" s="181" t="s">
        <v>228</v>
      </c>
      <c r="D15" s="82"/>
      <c r="E15" s="259" t="s">
        <v>5</v>
      </c>
      <c r="F15" s="93"/>
    </row>
    <row r="16" spans="1:6" ht="33" customHeight="1" thickBot="1">
      <c r="A16" s="82"/>
      <c r="B16" s="109"/>
      <c r="C16" s="181" t="s">
        <v>229</v>
      </c>
      <c r="D16" s="82"/>
      <c r="E16" s="576" t="s">
        <v>328</v>
      </c>
      <c r="F16" s="577"/>
    </row>
    <row r="17" spans="1:10" ht="24" customHeight="1">
      <c r="A17" s="82"/>
      <c r="B17" s="109" t="s">
        <v>131</v>
      </c>
      <c r="C17" s="181" t="s">
        <v>232</v>
      </c>
      <c r="D17" s="82"/>
      <c r="E17" s="578" t="s">
        <v>139</v>
      </c>
      <c r="F17" s="579"/>
    </row>
    <row r="18" spans="1:10" ht="29.25" customHeight="1" thickBot="1">
      <c r="A18" s="82"/>
      <c r="B18" s="109" t="s">
        <v>130</v>
      </c>
      <c r="C18" s="181" t="s">
        <v>230</v>
      </c>
      <c r="D18" s="82"/>
      <c r="E18" s="589" t="s">
        <v>226</v>
      </c>
      <c r="F18" s="575"/>
      <c r="J18" s="82"/>
    </row>
    <row r="19" spans="1:10" ht="30.75" customHeight="1">
      <c r="A19" s="82"/>
      <c r="B19" s="109" t="s">
        <v>205</v>
      </c>
      <c r="C19" s="119" t="s">
        <v>231</v>
      </c>
      <c r="D19" s="82"/>
      <c r="E19" s="590" t="s">
        <v>134</v>
      </c>
      <c r="F19" s="591"/>
      <c r="J19" s="82"/>
    </row>
    <row r="20" spans="1:10" ht="22.5" customHeight="1" thickBot="1">
      <c r="A20" s="82"/>
      <c r="B20" s="94"/>
      <c r="C20" s="89"/>
      <c r="D20" s="97"/>
      <c r="E20" s="121" t="s">
        <v>138</v>
      </c>
      <c r="F20" s="98">
        <v>7.2499999999999995E-2</v>
      </c>
      <c r="J20" s="82"/>
    </row>
    <row r="21" spans="1:10" ht="22.5" customHeight="1">
      <c r="A21" s="82"/>
      <c r="B21" s="109" t="s">
        <v>207</v>
      </c>
      <c r="C21" s="182"/>
      <c r="D21" s="82"/>
      <c r="E21" s="121" t="s">
        <v>99</v>
      </c>
      <c r="F21" s="197">
        <v>2.5000000000000001E-2</v>
      </c>
      <c r="J21" s="82"/>
    </row>
    <row r="22" spans="1:10" ht="22.5" customHeight="1" thickBot="1">
      <c r="A22" s="82"/>
      <c r="B22" s="109" t="s">
        <v>129</v>
      </c>
      <c r="C22" s="181"/>
      <c r="D22" s="82"/>
      <c r="E22" s="121" t="s">
        <v>67</v>
      </c>
      <c r="F22" s="98">
        <v>3.2500000000000001E-2</v>
      </c>
      <c r="J22" s="82"/>
    </row>
    <row r="23" spans="1:10" ht="22.5" customHeight="1">
      <c r="A23" s="82"/>
      <c r="B23" s="109"/>
      <c r="C23" s="181"/>
      <c r="D23" s="82"/>
      <c r="E23" s="595" t="s">
        <v>101</v>
      </c>
      <c r="F23" s="596"/>
      <c r="J23" s="82"/>
    </row>
    <row r="24" spans="1:10" ht="22.5" customHeight="1" thickBot="1">
      <c r="A24" s="82"/>
      <c r="B24" s="109" t="s">
        <v>131</v>
      </c>
      <c r="C24" s="181"/>
      <c r="D24" s="82"/>
      <c r="E24" s="597">
        <v>6000</v>
      </c>
      <c r="F24" s="598"/>
      <c r="J24" s="82"/>
    </row>
    <row r="25" spans="1:10" ht="22.5" customHeight="1">
      <c r="A25" s="82"/>
      <c r="B25" s="109" t="s">
        <v>130</v>
      </c>
      <c r="C25" s="181"/>
      <c r="D25" s="82"/>
      <c r="E25" s="595" t="s">
        <v>102</v>
      </c>
      <c r="F25" s="596"/>
      <c r="J25" s="82"/>
    </row>
    <row r="26" spans="1:10" ht="22.5" customHeight="1">
      <c r="A26" s="82"/>
      <c r="B26" s="109" t="s">
        <v>205</v>
      </c>
      <c r="C26" s="119"/>
      <c r="D26" s="82"/>
      <c r="E26" s="599">
        <f>regsf</f>
        <v>0</v>
      </c>
      <c r="F26" s="600"/>
      <c r="J26" s="82"/>
    </row>
    <row r="27" spans="1:10" ht="22.5" customHeight="1" thickBot="1">
      <c r="A27" s="82"/>
      <c r="B27" s="94"/>
      <c r="C27" s="89"/>
      <c r="D27" s="97"/>
      <c r="E27" s="99"/>
      <c r="F27" s="102"/>
      <c r="J27" s="82"/>
    </row>
    <row r="28" spans="1:10" ht="23.25" customHeight="1" thickTop="1">
      <c r="A28" s="82"/>
      <c r="B28" s="121" t="s">
        <v>208</v>
      </c>
      <c r="C28" s="124"/>
      <c r="D28" s="82"/>
      <c r="E28" s="266" t="s">
        <v>209</v>
      </c>
      <c r="F28" s="260"/>
      <c r="J28" s="82"/>
    </row>
    <row r="29" spans="1:10" ht="24" customHeight="1">
      <c r="A29" s="82"/>
      <c r="B29" s="121" t="s">
        <v>132</v>
      </c>
      <c r="C29" s="124"/>
      <c r="D29" s="82"/>
      <c r="E29" s="261" t="s">
        <v>210</v>
      </c>
      <c r="F29" s="265"/>
      <c r="J29" s="82"/>
    </row>
    <row r="30" spans="1:10" ht="23.25" customHeight="1">
      <c r="A30" s="82"/>
      <c r="B30" s="122"/>
      <c r="C30" s="124"/>
      <c r="D30" s="82"/>
      <c r="E30" s="261" t="s">
        <v>211</v>
      </c>
      <c r="F30" s="267"/>
    </row>
    <row r="31" spans="1:10" ht="24.75" customHeight="1">
      <c r="A31" s="82"/>
      <c r="B31" s="121" t="s">
        <v>133</v>
      </c>
      <c r="C31" s="183"/>
      <c r="D31" s="82"/>
      <c r="E31" s="261" t="s">
        <v>212</v>
      </c>
      <c r="F31" s="267"/>
    </row>
    <row r="32" spans="1:10" ht="24" customHeight="1">
      <c r="A32" s="82"/>
      <c r="B32" s="121" t="s">
        <v>205</v>
      </c>
      <c r="C32" s="144"/>
      <c r="D32" s="82"/>
      <c r="E32" s="261" t="s">
        <v>211</v>
      </c>
      <c r="F32" s="267"/>
    </row>
    <row r="33" spans="1:6" ht="23.25" customHeight="1">
      <c r="A33" s="82"/>
      <c r="B33" s="121" t="s">
        <v>135</v>
      </c>
      <c r="C33" s="183"/>
      <c r="D33" s="82"/>
      <c r="E33" s="261" t="s">
        <v>213</v>
      </c>
      <c r="F33" s="264"/>
    </row>
    <row r="34" spans="1:6" ht="10.5" customHeight="1" thickBot="1">
      <c r="A34" s="82"/>
      <c r="B34" s="99"/>
      <c r="C34" s="100"/>
      <c r="D34" s="101"/>
      <c r="E34" s="262"/>
      <c r="F34" s="263"/>
    </row>
    <row r="35" spans="1:6" ht="10.5" customHeight="1" thickTop="1" thickBot="1">
      <c r="A35" s="82"/>
      <c r="B35" s="82"/>
      <c r="C35" s="96"/>
      <c r="D35" s="82"/>
    </row>
    <row r="36" spans="1:6" ht="17.25" customHeight="1" thickBot="1">
      <c r="A36" s="82"/>
      <c r="B36" s="82"/>
      <c r="C36" s="270" t="s">
        <v>192</v>
      </c>
      <c r="D36" s="271"/>
      <c r="E36" s="272" t="s">
        <v>193</v>
      </c>
      <c r="F36" s="273" t="s">
        <v>194</v>
      </c>
    </row>
    <row r="37" spans="1:6" ht="17.399999999999999">
      <c r="A37" s="82"/>
      <c r="B37" s="82"/>
      <c r="C37" s="274" t="s">
        <v>159</v>
      </c>
      <c r="D37" s="268"/>
      <c r="E37" s="269"/>
      <c r="F37" s="275"/>
    </row>
    <row r="38" spans="1:6" ht="17.399999999999999">
      <c r="A38" s="82"/>
      <c r="B38" s="82"/>
      <c r="C38" s="276" t="s">
        <v>160</v>
      </c>
      <c r="D38" s="254"/>
      <c r="E38" s="255"/>
      <c r="F38" s="277"/>
    </row>
    <row r="39" spans="1:6" ht="17.399999999999999">
      <c r="A39" s="82"/>
      <c r="B39" s="82"/>
      <c r="C39" s="276" t="s">
        <v>161</v>
      </c>
      <c r="D39" s="254"/>
      <c r="E39" s="255"/>
      <c r="F39" s="277"/>
    </row>
    <row r="40" spans="1:6" ht="17.399999999999999">
      <c r="A40" s="82"/>
      <c r="B40" s="82"/>
      <c r="C40" s="276" t="s">
        <v>162</v>
      </c>
      <c r="D40" s="254"/>
      <c r="E40" s="255"/>
      <c r="F40" s="277"/>
    </row>
    <row r="41" spans="1:6" ht="17.399999999999999">
      <c r="A41" s="82"/>
      <c r="B41" s="82"/>
      <c r="C41" s="276" t="s">
        <v>190</v>
      </c>
      <c r="D41" s="254"/>
      <c r="E41" s="255"/>
      <c r="F41" s="277"/>
    </row>
    <row r="42" spans="1:6" ht="17.399999999999999">
      <c r="A42" s="82"/>
      <c r="B42" s="82"/>
      <c r="C42" s="276" t="s">
        <v>163</v>
      </c>
      <c r="D42" s="254"/>
      <c r="E42" s="255"/>
      <c r="F42" s="277"/>
    </row>
    <row r="43" spans="1:6" ht="17.399999999999999">
      <c r="A43" s="82"/>
      <c r="B43" s="82"/>
      <c r="C43" s="279" t="s">
        <v>164</v>
      </c>
      <c r="D43" s="280"/>
      <c r="E43" s="280"/>
      <c r="F43" s="281"/>
    </row>
    <row r="44" spans="1:6" ht="17.399999999999999">
      <c r="A44" s="82"/>
      <c r="B44" s="82"/>
      <c r="C44" s="282" t="s">
        <v>215</v>
      </c>
      <c r="D44" s="255"/>
      <c r="E44" s="283" t="s">
        <v>216</v>
      </c>
      <c r="F44" s="255"/>
    </row>
    <row r="45" spans="1:6" ht="15.6" thickBot="1">
      <c r="A45" s="82"/>
      <c r="B45" s="125" t="s">
        <v>195</v>
      </c>
      <c r="C45" s="106"/>
      <c r="D45" s="106"/>
      <c r="E45" s="106"/>
      <c r="F45" s="106"/>
    </row>
    <row r="46" spans="1:6" ht="42" customHeight="1" thickBot="1">
      <c r="A46" s="82"/>
      <c r="B46" s="592"/>
      <c r="C46" s="593"/>
      <c r="D46" s="593"/>
      <c r="E46" s="593"/>
      <c r="F46" s="594"/>
    </row>
    <row r="47" spans="1:6" ht="15.6" thickBot="1">
      <c r="A47" s="82"/>
      <c r="B47" s="82"/>
      <c r="C47" s="106"/>
      <c r="D47" s="82"/>
      <c r="E47" s="82"/>
      <c r="F47" s="82"/>
    </row>
    <row r="48" spans="1:6" ht="12.6">
      <c r="A48" s="82"/>
      <c r="B48" s="580" t="s">
        <v>196</v>
      </c>
      <c r="C48" s="581"/>
      <c r="D48" s="581"/>
      <c r="E48" s="581"/>
      <c r="F48" s="582"/>
    </row>
    <row r="49" spans="1:6" ht="12.6">
      <c r="A49" s="82"/>
      <c r="B49" s="583"/>
      <c r="C49" s="584"/>
      <c r="D49" s="584"/>
      <c r="E49" s="584"/>
      <c r="F49" s="585"/>
    </row>
    <row r="50" spans="1:6" ht="18" customHeight="1">
      <c r="A50" s="82"/>
      <c r="B50" s="583"/>
      <c r="C50" s="584"/>
      <c r="D50" s="584"/>
      <c r="E50" s="584"/>
      <c r="F50" s="585"/>
    </row>
    <row r="51" spans="1:6" ht="15.3">
      <c r="A51" s="82"/>
      <c r="B51" s="103"/>
      <c r="C51" s="96"/>
      <c r="D51" s="82"/>
      <c r="E51" s="81" t="s">
        <v>109</v>
      </c>
      <c r="F51" s="107"/>
    </row>
    <row r="52" spans="1:6" ht="15.6" thickBot="1">
      <c r="A52" s="82"/>
      <c r="B52" s="104"/>
      <c r="C52" s="89"/>
      <c r="D52" s="97"/>
      <c r="E52" s="108"/>
      <c r="F52" s="105"/>
    </row>
    <row r="53" spans="1:6" ht="15.3">
      <c r="A53" s="82"/>
      <c r="B53" s="82"/>
      <c r="C53" s="106"/>
      <c r="D53" s="82"/>
      <c r="E53" s="82"/>
      <c r="F53" s="82"/>
    </row>
    <row r="59" spans="1:6" ht="12.3">
      <c r="C59" s="80"/>
    </row>
    <row r="60" spans="1:6">
      <c r="B60"/>
    </row>
  </sheetData>
  <mergeCells count="15">
    <mergeCell ref="B48:F50"/>
    <mergeCell ref="B13:D13"/>
    <mergeCell ref="E18:F18"/>
    <mergeCell ref="E19:F19"/>
    <mergeCell ref="B46:F46"/>
    <mergeCell ref="E23:F23"/>
    <mergeCell ref="E24:F24"/>
    <mergeCell ref="E25:F25"/>
    <mergeCell ref="E26:F26"/>
    <mergeCell ref="E8:F8"/>
    <mergeCell ref="E14:F14"/>
    <mergeCell ref="E16:F16"/>
    <mergeCell ref="E17:F17"/>
    <mergeCell ref="E10:F10"/>
    <mergeCell ref="E12:F12"/>
  </mergeCells>
  <phoneticPr fontId="0" type="noConversion"/>
  <pageMargins left="0.5" right="0.5" top="0.5" bottom="0.5" header="0.5" footer="0.5"/>
  <pageSetup scale="6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D9"/>
  <sheetViews>
    <sheetView workbookViewId="0"/>
    <sheetView workbookViewId="1"/>
  </sheetViews>
  <sheetFormatPr defaultRowHeight="15"/>
  <cols>
    <col min="1" max="1" width="9.2265625" style="136" customWidth="1"/>
    <col min="2" max="2" width="13.76953125" customWidth="1"/>
    <col min="3" max="3" width="8.08984375" customWidth="1"/>
    <col min="4" max="4" width="5.453125" customWidth="1"/>
    <col min="5" max="5" width="8.2265625" customWidth="1"/>
    <col min="6" max="6" width="10.453125" customWidth="1"/>
    <col min="7" max="7" width="12.76953125" customWidth="1"/>
    <col min="8" max="8" width="9.08984375" customWidth="1"/>
    <col min="9" max="9" width="12.76953125" style="137" customWidth="1"/>
    <col min="10" max="10" width="9.76953125" style="137" customWidth="1"/>
    <col min="11" max="11" width="18" customWidth="1"/>
    <col min="12" max="12" width="18.2265625" customWidth="1"/>
    <col min="13" max="13" width="12.6796875" customWidth="1"/>
    <col min="14" max="14" width="12.76953125" customWidth="1"/>
    <col min="15" max="15" width="13.2265625" customWidth="1"/>
    <col min="16" max="16" width="7.76953125" customWidth="1"/>
    <col min="17" max="17" width="21.31640625" customWidth="1"/>
    <col min="18" max="18" width="11.2265625" customWidth="1"/>
    <col min="19" max="19" width="6" customWidth="1"/>
    <col min="20" max="20" width="13.76953125" customWidth="1"/>
    <col min="21" max="21" width="8.54296875" customWidth="1"/>
    <col min="22" max="22" width="8.6796875" customWidth="1"/>
    <col min="23" max="23" width="8.54296875" customWidth="1"/>
    <col min="24" max="24" width="9.08984375" style="149" customWidth="1"/>
    <col min="25" max="25" width="9.31640625" style="149" customWidth="1"/>
    <col min="26" max="26" width="8.31640625" style="149" customWidth="1"/>
    <col min="27" max="27" width="13.54296875" style="149" customWidth="1"/>
    <col min="28" max="28" width="16.54296875" style="149" customWidth="1"/>
    <col min="29" max="29" width="18.76953125" style="149" customWidth="1"/>
    <col min="30" max="30" width="8.54296875" style="149" customWidth="1"/>
    <col min="31" max="31" width="8.54296875" bestFit="1" customWidth="1"/>
    <col min="32" max="32" width="8.6796875" bestFit="1" customWidth="1"/>
    <col min="33" max="33" width="3.6796875" bestFit="1" customWidth="1"/>
    <col min="34" max="34" width="47.08984375" customWidth="1"/>
    <col min="35" max="35" width="9.08984375" bestFit="1" customWidth="1"/>
    <col min="36" max="36" width="8.76953125" bestFit="1" customWidth="1"/>
    <col min="37" max="37" width="9.08984375" bestFit="1" customWidth="1"/>
    <col min="38" max="38" width="11.2265625" bestFit="1" customWidth="1"/>
    <col min="39" max="39" width="11.08984375" customWidth="1"/>
    <col min="40" max="40" width="9.2265625" bestFit="1" customWidth="1"/>
    <col min="41" max="41" width="9.31640625" bestFit="1" customWidth="1"/>
    <col min="42" max="42" width="8.31640625" bestFit="1" customWidth="1"/>
    <col min="43" max="43" width="12.31640625" bestFit="1" customWidth="1"/>
    <col min="44" max="44" width="8" bestFit="1" customWidth="1"/>
    <col min="45" max="45" width="7.6796875" bestFit="1" customWidth="1"/>
    <col min="46" max="46" width="10.76953125" bestFit="1" customWidth="1"/>
    <col min="47" max="47" width="10.54296875" bestFit="1" customWidth="1"/>
    <col min="48" max="48" width="8" customWidth="1"/>
    <col min="49" max="49" width="11.453125" bestFit="1" customWidth="1"/>
    <col min="50" max="50" width="9.76953125" bestFit="1" customWidth="1"/>
  </cols>
  <sheetData>
    <row r="1" spans="1:30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48"/>
      <c r="Y1" s="148"/>
      <c r="Z1" s="148"/>
      <c r="AA1" s="148"/>
      <c r="AB1" s="148"/>
      <c r="AC1" s="148"/>
      <c r="AD1" s="148"/>
    </row>
    <row r="2" spans="1:30">
      <c r="G2" s="133"/>
      <c r="I2" s="133"/>
      <c r="J2"/>
      <c r="W2" s="133"/>
    </row>
    <row r="3" spans="1:30">
      <c r="G3" s="133"/>
      <c r="I3" s="133"/>
      <c r="J3"/>
      <c r="W3" s="133"/>
    </row>
    <row r="4" spans="1:30">
      <c r="I4"/>
      <c r="J4"/>
    </row>
    <row r="5" spans="1:30">
      <c r="I5"/>
      <c r="J5"/>
    </row>
    <row r="6" spans="1:30">
      <c r="I6"/>
      <c r="J6"/>
    </row>
    <row r="7" spans="1:30">
      <c r="I7"/>
      <c r="J7"/>
    </row>
    <row r="8" spans="1:30">
      <c r="I8"/>
      <c r="J8"/>
    </row>
    <row r="9" spans="1:30">
      <c r="A9" s="135"/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/>
  <dimension ref="B1:J37"/>
  <sheetViews>
    <sheetView view="pageBreakPreview" topLeftCell="A18" zoomScaleNormal="100" zoomScaleSheetLayoutView="100" workbookViewId="0">
      <selection activeCell="B25" sqref="B25"/>
    </sheetView>
    <sheetView tabSelected="1" topLeftCell="A10" workbookViewId="1">
      <selection activeCell="I13" sqref="I13"/>
    </sheetView>
  </sheetViews>
  <sheetFormatPr defaultColWidth="7.08984375" defaultRowHeight="12.3"/>
  <cols>
    <col min="1" max="1" width="7.08984375" style="242" customWidth="1"/>
    <col min="2" max="2" width="15" style="242" customWidth="1"/>
    <col min="3" max="4" width="7.08984375" style="242" customWidth="1"/>
    <col min="5" max="5" width="5.76953125" style="242" customWidth="1"/>
    <col min="6" max="6" width="5.453125" style="242" customWidth="1"/>
    <col min="7" max="7" width="7.76953125" style="242" customWidth="1"/>
    <col min="8" max="8" width="12.76953125" style="242" customWidth="1"/>
    <col min="9" max="9" width="19.08984375" style="242" customWidth="1"/>
    <col min="10" max="10" width="8.6796875" style="251" hidden="1" customWidth="1"/>
    <col min="11" max="11" width="9.76953125" style="242" customWidth="1"/>
    <col min="12" max="12" width="11.2265625" style="242" customWidth="1"/>
    <col min="13" max="16384" width="7.08984375" style="242"/>
  </cols>
  <sheetData>
    <row r="1" spans="2:10">
      <c r="B1" s="240"/>
      <c r="C1" s="240"/>
      <c r="D1" s="240"/>
      <c r="E1" s="240"/>
      <c r="F1" s="240"/>
      <c r="G1" s="240"/>
      <c r="H1" s="240"/>
      <c r="I1" s="240"/>
      <c r="J1" s="241"/>
    </row>
    <row r="2" spans="2:10">
      <c r="B2" s="240"/>
      <c r="C2" s="240"/>
      <c r="D2" s="240"/>
      <c r="E2" s="240"/>
      <c r="F2" s="240"/>
      <c r="G2" s="240"/>
      <c r="H2" s="240"/>
      <c r="I2" s="240"/>
      <c r="J2" s="241"/>
    </row>
    <row r="3" spans="2:10">
      <c r="B3" s="240"/>
      <c r="C3" s="240"/>
      <c r="D3" s="240"/>
      <c r="E3" s="240"/>
      <c r="F3" s="240"/>
      <c r="G3" s="240"/>
      <c r="H3" s="240"/>
      <c r="I3" s="240"/>
      <c r="J3" s="241"/>
    </row>
    <row r="4" spans="2:10">
      <c r="B4" s="240"/>
      <c r="C4" s="240"/>
      <c r="D4" s="240"/>
      <c r="E4" s="240"/>
      <c r="F4" s="240"/>
      <c r="G4" s="240"/>
      <c r="H4" s="240"/>
      <c r="I4" s="240"/>
      <c r="J4" s="241"/>
    </row>
    <row r="5" spans="2:10">
      <c r="B5" s="240"/>
      <c r="C5" s="240"/>
      <c r="D5" s="240"/>
      <c r="E5" s="240"/>
      <c r="F5" s="240"/>
      <c r="G5" s="240"/>
      <c r="H5" s="240"/>
      <c r="I5" s="240"/>
      <c r="J5" s="241"/>
    </row>
    <row r="6" spans="2:10">
      <c r="B6" s="240"/>
      <c r="C6" s="240"/>
      <c r="D6" s="240"/>
      <c r="E6" s="240"/>
      <c r="F6" s="240"/>
      <c r="G6" s="240"/>
      <c r="H6" s="240"/>
      <c r="I6" s="240"/>
      <c r="J6" s="241"/>
    </row>
    <row r="7" spans="2:10">
      <c r="B7" s="240"/>
      <c r="C7" s="240"/>
      <c r="D7" s="240"/>
      <c r="E7" s="240"/>
      <c r="F7" s="240"/>
      <c r="G7" s="240"/>
      <c r="H7" s="240"/>
      <c r="I7" s="240"/>
      <c r="J7" s="241"/>
    </row>
    <row r="8" spans="2:10">
      <c r="B8" s="240"/>
      <c r="C8" s="240"/>
      <c r="D8" s="240"/>
      <c r="E8" s="240"/>
      <c r="F8" s="240"/>
      <c r="G8" s="240"/>
      <c r="H8" s="240"/>
      <c r="I8" s="240"/>
      <c r="J8" s="241"/>
    </row>
    <row r="9" spans="2:10">
      <c r="B9" s="240"/>
      <c r="C9" s="240"/>
      <c r="D9" s="240"/>
      <c r="E9" s="240"/>
      <c r="F9" s="240"/>
      <c r="G9" s="240"/>
      <c r="H9" s="240"/>
      <c r="I9" s="240"/>
      <c r="J9" s="241"/>
    </row>
    <row r="10" spans="2:10" ht="13.8">
      <c r="B10" s="601">
        <v>45965</v>
      </c>
      <c r="C10" s="601"/>
      <c r="D10" s="601"/>
      <c r="E10" s="601"/>
      <c r="F10" s="243"/>
      <c r="G10" s="243"/>
      <c r="H10" s="244" t="s">
        <v>184</v>
      </c>
      <c r="I10" s="245" t="str">
        <f>+RFE!E14</f>
        <v>24-038C</v>
      </c>
      <c r="J10" s="241"/>
    </row>
    <row r="11" spans="2:10" ht="13.8">
      <c r="B11" s="243"/>
      <c r="C11" s="243"/>
      <c r="D11" s="243"/>
      <c r="E11" s="243"/>
      <c r="F11" s="243"/>
      <c r="G11" s="243"/>
      <c r="H11" s="243"/>
      <c r="I11" s="243"/>
      <c r="J11" s="241"/>
    </row>
    <row r="12" spans="2:10" ht="13.8">
      <c r="B12" s="253" t="str">
        <f>+RFE!C17</f>
        <v>Joseph S. Tarella / Edward Bowser;</v>
      </c>
      <c r="C12" s="243"/>
      <c r="D12" s="243"/>
      <c r="E12" s="243"/>
      <c r="F12" s="243"/>
      <c r="G12" s="243"/>
      <c r="H12" s="243"/>
      <c r="I12" s="243"/>
      <c r="J12" s="241"/>
    </row>
    <row r="13" spans="2:10" ht="13.8">
      <c r="B13" s="253" t="str">
        <f>+RFE!C14</f>
        <v>Sawicki/Tarella Architectur +Design, P.C.</v>
      </c>
      <c r="C13" s="243"/>
      <c r="D13" s="243"/>
      <c r="E13" s="243"/>
      <c r="F13" s="243"/>
      <c r="G13" s="243"/>
      <c r="H13" s="243"/>
      <c r="I13" s="243"/>
      <c r="J13" s="241"/>
    </row>
    <row r="14" spans="2:10" ht="13.8">
      <c r="B14" s="253" t="str">
        <f>+RFE!C15</f>
        <v>303 West 13th Street</v>
      </c>
      <c r="C14" s="243"/>
      <c r="D14" s="243"/>
      <c r="E14" s="243"/>
      <c r="F14" s="243"/>
      <c r="G14" s="243"/>
      <c r="H14" s="243"/>
      <c r="I14" s="243"/>
      <c r="J14" s="241"/>
    </row>
    <row r="15" spans="2:10" ht="13.8">
      <c r="B15" s="253" t="str">
        <f>+RFE!C16</f>
        <v>New York. NY 10014</v>
      </c>
      <c r="C15" s="243"/>
      <c r="D15" s="243"/>
      <c r="E15" s="243"/>
      <c r="F15" s="243"/>
      <c r="G15" s="243"/>
      <c r="H15" s="243"/>
      <c r="I15" s="243"/>
      <c r="J15" s="241"/>
    </row>
    <row r="16" spans="2:10" ht="13.8">
      <c r="B16" s="243"/>
      <c r="C16" s="243"/>
      <c r="D16" s="243"/>
      <c r="E16" s="243"/>
      <c r="F16" s="243"/>
      <c r="G16" s="243"/>
      <c r="H16" s="243"/>
      <c r="I16" s="243"/>
      <c r="J16" s="241"/>
    </row>
    <row r="17" spans="2:10" ht="13.8">
      <c r="B17" s="243" t="s">
        <v>185</v>
      </c>
      <c r="C17" s="252" t="str">
        <f>+RFE!C8</f>
        <v>Town House Renovation</v>
      </c>
      <c r="D17" s="243"/>
      <c r="E17" s="243"/>
      <c r="F17" s="243"/>
      <c r="G17" s="243"/>
      <c r="H17" s="243"/>
      <c r="I17" s="243"/>
      <c r="J17" s="241"/>
    </row>
    <row r="18" spans="2:10" ht="13.8">
      <c r="B18" s="243"/>
      <c r="C18" s="252" t="str">
        <f>+RFE!C9</f>
        <v>60 Bank Street</v>
      </c>
      <c r="D18" s="243"/>
      <c r="E18" s="243"/>
      <c r="F18" s="243"/>
      <c r="G18" s="243"/>
      <c r="H18" s="243"/>
      <c r="I18" s="243"/>
      <c r="J18" s="241"/>
    </row>
    <row r="19" spans="2:10" ht="13.8">
      <c r="B19" s="243"/>
      <c r="C19" s="252" t="str">
        <f>+RFE!C10</f>
        <v>New York, NY 10014</v>
      </c>
      <c r="D19" s="243"/>
      <c r="E19" s="243"/>
      <c r="F19" s="243"/>
      <c r="G19" s="243"/>
      <c r="H19" s="243"/>
      <c r="I19" s="243"/>
      <c r="J19" s="241"/>
    </row>
    <row r="20" spans="2:10" ht="13.8">
      <c r="B20" s="243"/>
      <c r="C20" s="243"/>
      <c r="D20" s="243"/>
      <c r="E20" s="243"/>
      <c r="F20" s="243"/>
      <c r="G20" s="243"/>
      <c r="H20" s="243"/>
      <c r="I20" s="243"/>
      <c r="J20" s="241"/>
    </row>
    <row r="21" spans="2:10" ht="13.8">
      <c r="B21" s="243"/>
      <c r="C21" s="243"/>
      <c r="D21" s="243"/>
      <c r="E21" s="243"/>
      <c r="F21" s="243"/>
      <c r="G21" s="243"/>
      <c r="H21" s="243"/>
      <c r="I21" s="243"/>
      <c r="J21" s="241"/>
    </row>
    <row r="22" spans="2:10" ht="15">
      <c r="B22" s="604" t="str">
        <f>CONCATENATE("Dear ",+RFE!C17)</f>
        <v>Dear Joseph S. Tarella / Edward Bowser;</v>
      </c>
      <c r="C22" s="604"/>
      <c r="D22" s="603"/>
      <c r="E22" s="603"/>
      <c r="F22" s="603"/>
      <c r="G22" s="603"/>
      <c r="H22" s="243"/>
      <c r="I22" s="243"/>
      <c r="J22" s="241"/>
    </row>
    <row r="23" spans="2:10" ht="13.8">
      <c r="B23" s="243"/>
      <c r="C23" s="243"/>
      <c r="D23" s="243"/>
      <c r="E23" s="243"/>
      <c r="F23" s="243"/>
      <c r="G23" s="243"/>
      <c r="H23" s="243"/>
      <c r="I23" s="243"/>
      <c r="J23" s="241"/>
    </row>
    <row r="24" spans="2:10" ht="30.75" customHeight="1">
      <c r="B24" s="602" t="s">
        <v>612</v>
      </c>
      <c r="C24" s="603"/>
      <c r="D24" s="603"/>
      <c r="E24" s="603"/>
      <c r="F24" s="603"/>
      <c r="G24" s="603"/>
      <c r="H24" s="603"/>
      <c r="I24" s="603"/>
      <c r="J24" s="241"/>
    </row>
    <row r="25" spans="2:10" ht="13.8">
      <c r="B25" s="243"/>
      <c r="C25" s="243"/>
      <c r="D25" s="243"/>
      <c r="E25" s="243"/>
      <c r="F25" s="243"/>
      <c r="G25" s="243"/>
      <c r="H25" s="243"/>
      <c r="I25" s="243"/>
      <c r="J25" s="241"/>
    </row>
    <row r="26" spans="2:10" ht="13.8">
      <c r="B26" s="243"/>
      <c r="C26" s="243"/>
      <c r="D26" s="243"/>
      <c r="E26" s="243"/>
      <c r="F26" s="243"/>
      <c r="G26" s="243"/>
      <c r="H26" s="243"/>
      <c r="I26" s="243"/>
      <c r="J26" s="241"/>
    </row>
    <row r="27" spans="2:10" ht="28.15" customHeight="1">
      <c r="B27" s="602" t="s">
        <v>223</v>
      </c>
      <c r="C27" s="603"/>
      <c r="D27" s="603"/>
      <c r="E27" s="603"/>
      <c r="F27" s="603"/>
      <c r="G27" s="603"/>
      <c r="H27" s="603"/>
      <c r="I27" s="603"/>
      <c r="J27" s="241"/>
    </row>
    <row r="28" spans="2:10" ht="13.8">
      <c r="B28" s="243"/>
      <c r="C28" s="243"/>
      <c r="D28" s="243"/>
      <c r="E28" s="243"/>
      <c r="F28" s="243"/>
      <c r="G28" s="243"/>
      <c r="H28" s="243"/>
      <c r="I28" s="243"/>
      <c r="J28" s="241"/>
    </row>
    <row r="29" spans="2:10" ht="13.8">
      <c r="B29" s="243"/>
      <c r="C29" s="243"/>
      <c r="D29" s="243"/>
      <c r="E29" s="243"/>
      <c r="F29" s="243"/>
      <c r="G29" s="243"/>
      <c r="H29" s="243"/>
      <c r="I29" s="243"/>
      <c r="J29" s="241"/>
    </row>
    <row r="30" spans="2:10" ht="13.8">
      <c r="B30" s="243" t="s">
        <v>186</v>
      </c>
      <c r="C30" s="243"/>
      <c r="D30" s="243"/>
      <c r="E30" s="243"/>
      <c r="F30" s="243"/>
      <c r="G30" s="243"/>
      <c r="H30" s="243"/>
      <c r="I30" s="243"/>
      <c r="J30" s="241"/>
    </row>
    <row r="31" spans="2:10" ht="13.8">
      <c r="B31" s="243"/>
      <c r="C31" s="243"/>
      <c r="D31" s="243"/>
      <c r="E31" s="243"/>
      <c r="F31" s="243"/>
      <c r="G31" s="243"/>
      <c r="H31" s="243"/>
      <c r="I31" s="243"/>
      <c r="J31" s="241"/>
    </row>
    <row r="32" spans="2:10" ht="13.8">
      <c r="B32" s="243"/>
      <c r="C32" s="243"/>
      <c r="D32" s="243"/>
      <c r="E32" s="243"/>
      <c r="F32" s="243"/>
      <c r="G32" s="243"/>
      <c r="H32" s="243"/>
      <c r="I32" s="243"/>
      <c r="J32" s="241"/>
    </row>
    <row r="33" spans="2:10" ht="13.8">
      <c r="B33" s="243"/>
      <c r="C33" s="243"/>
      <c r="D33" s="243"/>
      <c r="E33" s="243"/>
      <c r="F33" s="243"/>
      <c r="G33" s="243"/>
      <c r="H33" s="243"/>
      <c r="I33" s="243"/>
      <c r="J33" s="241"/>
    </row>
    <row r="34" spans="2:10" ht="13.8">
      <c r="B34" s="243"/>
      <c r="C34" s="243"/>
      <c r="D34" s="243"/>
      <c r="E34" s="243"/>
      <c r="F34" s="243"/>
      <c r="G34" s="243"/>
      <c r="H34" s="243"/>
      <c r="I34" s="243"/>
      <c r="J34" s="241"/>
    </row>
    <row r="35" spans="2:10" ht="14.1">
      <c r="B35" s="246" t="s">
        <v>187</v>
      </c>
      <c r="C35" s="246"/>
      <c r="D35" s="243"/>
      <c r="E35" s="243"/>
      <c r="F35" s="243"/>
      <c r="G35" s="243"/>
      <c r="H35" s="247"/>
      <c r="I35" s="246"/>
      <c r="J35" s="248"/>
    </row>
    <row r="36" spans="2:10" ht="14.1">
      <c r="B36" s="246" t="s">
        <v>188</v>
      </c>
      <c r="C36" s="246"/>
      <c r="D36" s="243"/>
      <c r="E36" s="243"/>
      <c r="F36" s="243"/>
      <c r="G36" s="243"/>
      <c r="H36" s="247"/>
      <c r="I36" s="246"/>
      <c r="J36" s="248"/>
    </row>
    <row r="37" spans="2:10" s="243" customFormat="1" ht="22.5">
      <c r="B37" s="249" t="s">
        <v>189</v>
      </c>
      <c r="C37" s="249"/>
      <c r="H37" s="247"/>
      <c r="I37" s="246"/>
      <c r="J37" s="250"/>
    </row>
  </sheetData>
  <mergeCells count="4">
    <mergeCell ref="B10:E10"/>
    <mergeCell ref="B24:I24"/>
    <mergeCell ref="B27:I27"/>
    <mergeCell ref="B22:G22"/>
  </mergeCells>
  <pageMargins left="0.24" right="1" top="0.56999999999999995" bottom="0.36" header="0.5" footer="0.5"/>
  <pageSetup scale="8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15"/>
  <sheetViews>
    <sheetView view="pageBreakPreview" topLeftCell="A38" zoomScaleNormal="100" zoomScaleSheetLayoutView="100" workbookViewId="0">
      <selection activeCell="B24" sqref="B24"/>
    </sheetView>
    <sheetView view="pageBreakPreview" topLeftCell="B1" zoomScaleNormal="100" zoomScaleSheetLayoutView="100" workbookViewId="1">
      <selection activeCell="G55" sqref="G55"/>
    </sheetView>
  </sheetViews>
  <sheetFormatPr defaultColWidth="8.76953125" defaultRowHeight="15"/>
  <cols>
    <col min="1" max="1" width="10.453125" style="47" customWidth="1"/>
    <col min="2" max="2" width="30" style="47" customWidth="1"/>
    <col min="3" max="3" width="12" style="47" customWidth="1"/>
    <col min="4" max="4" width="13.08984375" style="47" customWidth="1"/>
    <col min="5" max="5" width="15.08984375" style="336" customWidth="1"/>
    <col min="6" max="7" width="16.54296875" style="336" customWidth="1"/>
    <col min="8" max="9" width="8.76953125" style="47" customWidth="1"/>
    <col min="10" max="10" width="11.31640625" style="47" customWidth="1"/>
    <col min="11" max="40" width="8.76953125" style="47" customWidth="1"/>
    <col min="41" max="16384" width="8.76953125" style="47"/>
  </cols>
  <sheetData>
    <row r="1" spans="1:7" ht="48" customHeight="1"/>
    <row r="2" spans="1:7" customFormat="1" ht="26.1" customHeight="1">
      <c r="A2" s="1"/>
      <c r="B2" s="130" t="str">
        <f>RFE!C8</f>
        <v>Town House Renovation</v>
      </c>
      <c r="C2" s="6" t="s">
        <v>70</v>
      </c>
      <c r="D2" s="6"/>
      <c r="E2" s="298" t="str">
        <f>+RFE!E14</f>
        <v>24-038C</v>
      </c>
      <c r="F2" s="298"/>
      <c r="G2" s="298"/>
    </row>
    <row r="3" spans="1:7" customFormat="1">
      <c r="A3" s="5"/>
      <c r="B3" s="7" t="str">
        <f>RFE!C9</f>
        <v>60 Bank Street</v>
      </c>
      <c r="C3" s="300" t="s">
        <v>613</v>
      </c>
      <c r="D3" s="300"/>
      <c r="E3" s="355" t="s">
        <v>686</v>
      </c>
      <c r="F3" s="355"/>
      <c r="G3" s="355"/>
    </row>
    <row r="4" spans="1:7" customFormat="1">
      <c r="A4" s="5"/>
      <c r="B4" s="7" t="str">
        <f>RFE!C10</f>
        <v>New York, NY 10014</v>
      </c>
      <c r="C4" s="6"/>
      <c r="D4" s="6"/>
      <c r="E4" s="298"/>
      <c r="F4" s="298"/>
      <c r="G4" s="298"/>
    </row>
    <row r="5" spans="1:7" customFormat="1" ht="18" customHeight="1">
      <c r="A5" s="5"/>
      <c r="B5" s="131" t="s">
        <v>330</v>
      </c>
      <c r="C5" s="47"/>
      <c r="D5" s="47"/>
      <c r="E5" s="337"/>
      <c r="F5" s="337"/>
      <c r="G5" s="337"/>
    </row>
    <row r="6" spans="1:7" customFormat="1" ht="7.15" customHeight="1" thickBot="1">
      <c r="A6" s="47"/>
      <c r="B6" s="48"/>
      <c r="C6" s="335"/>
      <c r="D6" s="335"/>
      <c r="E6" s="341"/>
      <c r="F6" s="341"/>
      <c r="G6" s="341"/>
    </row>
    <row r="7" spans="1:7" ht="9.6" customHeight="1" thickBot="1">
      <c r="A7" s="291"/>
      <c r="B7" s="132" t="s">
        <v>71</v>
      </c>
      <c r="C7" s="356"/>
      <c r="D7" s="356"/>
      <c r="E7" s="338"/>
      <c r="F7" s="338"/>
      <c r="G7" s="494"/>
    </row>
    <row r="8" spans="1:7" ht="16.5" customHeight="1" thickBot="1">
      <c r="A8" s="289" t="s">
        <v>60</v>
      </c>
      <c r="B8" s="290" t="s">
        <v>120</v>
      </c>
      <c r="C8" s="357"/>
      <c r="D8" s="357">
        <v>45897</v>
      </c>
      <c r="E8" s="339" t="s">
        <v>181</v>
      </c>
      <c r="F8" s="339" t="s">
        <v>620</v>
      </c>
      <c r="G8" s="495" t="s">
        <v>621</v>
      </c>
    </row>
    <row r="9" spans="1:7" ht="15" customHeight="1" thickBot="1">
      <c r="A9" s="292"/>
      <c r="B9" s="284"/>
      <c r="C9" s="285"/>
      <c r="D9" s="285"/>
      <c r="E9" s="340"/>
      <c r="F9" s="340"/>
      <c r="G9" s="496"/>
    </row>
    <row r="10" spans="1:7" ht="18" customHeight="1" thickTop="1">
      <c r="A10" s="348" t="str">
        <f>+'Bid Comparison '!A10</f>
        <v>1050</v>
      </c>
      <c r="B10" s="349" t="str">
        <f>+'Bid Comparison '!B10</f>
        <v>General Requirements</v>
      </c>
      <c r="C10" s="347"/>
      <c r="D10" s="347">
        <v>448250</v>
      </c>
      <c r="E10" s="347">
        <f>+'Bid Comparison '!E10</f>
        <v>364800</v>
      </c>
      <c r="F10" s="347">
        <f>+E10-D10</f>
        <v>-83450</v>
      </c>
      <c r="G10" s="497" t="s">
        <v>624</v>
      </c>
    </row>
    <row r="11" spans="1:7" ht="18" customHeight="1">
      <c r="A11" s="346">
        <f>+'Bid Comparison '!A11</f>
        <v>1100</v>
      </c>
      <c r="B11" s="349" t="str">
        <f>+'Bid Comparison '!B11</f>
        <v>Protection &amp; Logistics</v>
      </c>
      <c r="C11" s="347"/>
      <c r="D11" s="347">
        <v>154500</v>
      </c>
      <c r="E11" s="347">
        <f>+'Bid Comparison '!E11</f>
        <v>122000</v>
      </c>
      <c r="F11" s="347">
        <f t="shared" ref="F11:F61" si="0">+E11-D11</f>
        <v>-32500</v>
      </c>
      <c r="G11" s="497"/>
    </row>
    <row r="12" spans="1:7" ht="18" customHeight="1">
      <c r="A12" s="346">
        <f>+'Bid Comparison '!A12</f>
        <v>2000</v>
      </c>
      <c r="B12" s="349" t="str">
        <f>+'Bid Comparison '!B12</f>
        <v>Excavation/Foundation</v>
      </c>
      <c r="C12" s="347"/>
      <c r="D12" s="347">
        <v>586511</v>
      </c>
      <c r="E12" s="347">
        <f>+'Bid Comparison '!E12</f>
        <v>550000</v>
      </c>
      <c r="F12" s="347">
        <f t="shared" si="0"/>
        <v>-36511</v>
      </c>
      <c r="G12" s="497"/>
    </row>
    <row r="13" spans="1:7" ht="18" customHeight="1">
      <c r="A13" s="346">
        <f>+'Bid Comparison '!A13</f>
        <v>2010</v>
      </c>
      <c r="B13" s="609" t="str">
        <f>+'Bid Comparison '!B13</f>
        <v>Underpinning, Shoring &amp; Support of Excavation</v>
      </c>
      <c r="C13" s="610"/>
      <c r="D13" s="347">
        <v>460393</v>
      </c>
      <c r="E13" s="347">
        <f>+'Bid Comparison '!E13</f>
        <v>420000</v>
      </c>
      <c r="F13" s="347">
        <f t="shared" si="0"/>
        <v>-40393</v>
      </c>
      <c r="G13" s="497"/>
    </row>
    <row r="14" spans="1:7" ht="18" customHeight="1">
      <c r="A14" s="346"/>
      <c r="B14" s="349" t="str">
        <f>+'Bid Comparison '!B14</f>
        <v>Waterproofing</v>
      </c>
      <c r="C14" s="347"/>
      <c r="D14" s="347">
        <v>99130</v>
      </c>
      <c r="E14" s="347">
        <f>+'Bid Comparison '!E14</f>
        <v>95000</v>
      </c>
      <c r="F14" s="347">
        <f t="shared" si="0"/>
        <v>-4130</v>
      </c>
      <c r="G14" s="497"/>
    </row>
    <row r="15" spans="1:7" ht="18" customHeight="1">
      <c r="A15" s="346">
        <f>+'Bid Comparison '!A15</f>
        <v>2050</v>
      </c>
      <c r="B15" s="349" t="str">
        <f>+'Bid Comparison '!B15</f>
        <v>Demolition</v>
      </c>
      <c r="C15" s="347"/>
      <c r="D15" s="347">
        <v>198300</v>
      </c>
      <c r="E15" s="347">
        <f>+'Bid Comparison '!E15</f>
        <v>178300</v>
      </c>
      <c r="F15" s="347">
        <f t="shared" si="0"/>
        <v>-20000</v>
      </c>
      <c r="G15" s="497"/>
    </row>
    <row r="16" spans="1:7" ht="18" customHeight="1">
      <c r="A16" s="346">
        <f>+'Bid Comparison '!A16</f>
        <v>2090</v>
      </c>
      <c r="B16" s="349" t="str">
        <f>+'Bid Comparison '!B16</f>
        <v>Asbestos Removal</v>
      </c>
      <c r="C16" s="347"/>
      <c r="D16" s="347" t="s">
        <v>243</v>
      </c>
      <c r="E16" s="347" t="str">
        <f>+'Bid Comparison '!E16</f>
        <v>Not Included</v>
      </c>
      <c r="F16" s="347"/>
      <c r="G16" s="497"/>
    </row>
    <row r="17" spans="1:7" ht="18" customHeight="1">
      <c r="A17" s="346">
        <v>2100</v>
      </c>
      <c r="B17" s="432" t="s">
        <v>269</v>
      </c>
      <c r="C17" s="433"/>
      <c r="D17" s="433">
        <v>76775</v>
      </c>
      <c r="E17" s="433">
        <f>+'Bid Comparison '!E17</f>
        <v>76775</v>
      </c>
      <c r="F17" s="347">
        <f t="shared" si="0"/>
        <v>0</v>
      </c>
      <c r="G17" s="497"/>
    </row>
    <row r="18" spans="1:7" ht="18" customHeight="1">
      <c r="A18" s="346">
        <f>+'Bid Comparison '!A18</f>
        <v>3000</v>
      </c>
      <c r="B18" s="349" t="str">
        <f>+'Bid Comparison '!B18</f>
        <v>Concrete</v>
      </c>
      <c r="C18" s="347"/>
      <c r="D18" s="347">
        <v>26000</v>
      </c>
      <c r="E18" s="347">
        <f>+'Bid Comparison '!E18</f>
        <v>26000</v>
      </c>
      <c r="F18" s="347">
        <f t="shared" si="0"/>
        <v>0</v>
      </c>
      <c r="G18" s="497"/>
    </row>
    <row r="19" spans="1:7" ht="18" customHeight="1">
      <c r="A19" s="346">
        <f>+'Bid Comparison '!A19</f>
        <v>4000</v>
      </c>
      <c r="B19" s="349" t="str">
        <f>+'Bid Comparison '!B19</f>
        <v>Masonry</v>
      </c>
      <c r="C19" s="347"/>
      <c r="D19" s="347">
        <v>66000</v>
      </c>
      <c r="E19" s="347">
        <f>+'Bid Comparison '!E19-E20</f>
        <v>63750</v>
      </c>
      <c r="F19" s="347">
        <f t="shared" si="0"/>
        <v>-2250</v>
      </c>
      <c r="G19" s="497"/>
    </row>
    <row r="20" spans="1:7" ht="18" customHeight="1">
      <c r="A20" s="346"/>
      <c r="B20" s="349" t="str">
        <f>+Estimate!C88</f>
        <v>Interior Masonry Remediation</v>
      </c>
      <c r="C20" s="347"/>
      <c r="D20" s="347">
        <v>84850</v>
      </c>
      <c r="E20" s="347">
        <f>+Estimate!I94</f>
        <v>77600</v>
      </c>
      <c r="F20" s="347">
        <f t="shared" si="0"/>
        <v>-7250</v>
      </c>
      <c r="G20" s="497"/>
    </row>
    <row r="21" spans="1:7" ht="18" customHeight="1">
      <c r="A21" s="346">
        <f>+'Bid Comparison '!A20</f>
        <v>4500</v>
      </c>
      <c r="B21" s="349" t="str">
        <f>+'Bid Comparison '!B20</f>
        <v>Masonry Restoration</v>
      </c>
      <c r="C21" s="347"/>
      <c r="D21" s="347">
        <v>112750</v>
      </c>
      <c r="E21" s="347">
        <f>+'Bid Comparison '!E20</f>
        <v>66875</v>
      </c>
      <c r="F21" s="347">
        <f t="shared" si="0"/>
        <v>-45875</v>
      </c>
      <c r="G21" s="497"/>
    </row>
    <row r="22" spans="1:7" ht="18" customHeight="1">
      <c r="A22" s="346">
        <f>+'Bid Comparison '!A21</f>
        <v>5120</v>
      </c>
      <c r="B22" s="349" t="str">
        <f>+'Bid Comparison '!B21</f>
        <v>Structural Steel</v>
      </c>
      <c r="C22" s="347"/>
      <c r="D22" s="347">
        <v>295000</v>
      </c>
      <c r="E22" s="347">
        <f>+'Bid Comparison '!E21</f>
        <v>238500</v>
      </c>
      <c r="F22" s="347">
        <f t="shared" si="0"/>
        <v>-56500</v>
      </c>
      <c r="G22" s="497"/>
    </row>
    <row r="23" spans="1:7" ht="18" customHeight="1">
      <c r="A23" s="346">
        <f>+'Bid Comparison '!A22</f>
        <v>5400</v>
      </c>
      <c r="B23" s="349" t="str">
        <f>+'Bid Comparison '!B22</f>
        <v>Ornamental Iron Works</v>
      </c>
      <c r="C23" s="347"/>
      <c r="D23" s="347">
        <v>80750</v>
      </c>
      <c r="E23" s="347">
        <f>+'Bid Comparison '!E22</f>
        <v>70750</v>
      </c>
      <c r="F23" s="347">
        <f t="shared" si="0"/>
        <v>-10000</v>
      </c>
      <c r="G23" s="497"/>
    </row>
    <row r="24" spans="1:7" ht="18" customHeight="1">
      <c r="A24" s="346">
        <f>+'Bid Comparison '!A23</f>
        <v>5500</v>
      </c>
      <c r="B24" s="349" t="str">
        <f>+'Bid Comparison '!B23</f>
        <v>Miscellaneous Iron</v>
      </c>
      <c r="C24" s="347"/>
      <c r="D24" s="347">
        <v>35000</v>
      </c>
      <c r="E24" s="347">
        <f>+'Bid Comparison '!E23</f>
        <v>24800</v>
      </c>
      <c r="F24" s="347">
        <f t="shared" si="0"/>
        <v>-10200</v>
      </c>
      <c r="G24" s="497"/>
    </row>
    <row r="25" spans="1:7" ht="18" customHeight="1">
      <c r="A25" s="346">
        <f>+'Bid Comparison '!A24</f>
        <v>6400</v>
      </c>
      <c r="B25" s="349" t="str">
        <f>+'Bid Comparison '!B24</f>
        <v>Architectural Woodwork</v>
      </c>
      <c r="C25" s="347"/>
      <c r="D25" s="347">
        <v>54350</v>
      </c>
      <c r="E25" s="347">
        <f>+'Bid Comparison '!E24</f>
        <v>54350</v>
      </c>
      <c r="F25" s="347">
        <f t="shared" si="0"/>
        <v>0</v>
      </c>
      <c r="G25" s="497"/>
    </row>
    <row r="26" spans="1:7" ht="18" customHeight="1">
      <c r="A26" s="346">
        <f>+'Bid Comparison '!A25</f>
        <v>6500</v>
      </c>
      <c r="B26" s="349" t="str">
        <f>+'Bid Comparison '!B25</f>
        <v>Rough Carpentry</v>
      </c>
      <c r="C26" s="347"/>
      <c r="D26" s="347">
        <v>245560</v>
      </c>
      <c r="E26" s="347">
        <f>+'Bid Comparison '!E25</f>
        <v>238060</v>
      </c>
      <c r="F26" s="347">
        <f t="shared" si="0"/>
        <v>-7500</v>
      </c>
      <c r="G26" s="497"/>
    </row>
    <row r="27" spans="1:7" ht="18" customHeight="1">
      <c r="A27" s="346">
        <f>+'Bid Comparison '!A26</f>
        <v>0</v>
      </c>
      <c r="B27" s="432" t="str">
        <f>+'Bid Comparison '!B26</f>
        <v>Finish Carpentry</v>
      </c>
      <c r="C27" s="433"/>
      <c r="D27" s="433">
        <v>25000</v>
      </c>
      <c r="E27" s="433">
        <f>+'Bid Comparison '!E26</f>
        <v>25000</v>
      </c>
      <c r="F27" s="347">
        <f t="shared" si="0"/>
        <v>0</v>
      </c>
      <c r="G27" s="497"/>
    </row>
    <row r="28" spans="1:7" ht="18" customHeight="1">
      <c r="A28" s="346">
        <f>+'Bid Comparison '!A27</f>
        <v>7500</v>
      </c>
      <c r="B28" s="349" t="str">
        <f>+'Bid Comparison '!B27</f>
        <v>Roofing/Waterproofing</v>
      </c>
      <c r="C28" s="347"/>
      <c r="D28" s="347">
        <v>102475</v>
      </c>
      <c r="E28" s="347">
        <f>+'Bid Comparison '!E27</f>
        <v>45975</v>
      </c>
      <c r="F28" s="347">
        <f t="shared" si="0"/>
        <v>-56500</v>
      </c>
      <c r="G28" s="497"/>
    </row>
    <row r="29" spans="1:7" ht="18" customHeight="1">
      <c r="A29" s="346">
        <f>+'Bid Comparison '!A28</f>
        <v>8110</v>
      </c>
      <c r="B29" s="349" t="str">
        <f>+'Bid Comparison '!B28</f>
        <v>Doors, Frames &amp; Hardware</v>
      </c>
      <c r="C29" s="347"/>
      <c r="D29" s="347" t="s">
        <v>593</v>
      </c>
      <c r="E29" s="347" t="str">
        <f>+'Bid Comparison '!E28</f>
        <v>See Alternate</v>
      </c>
      <c r="F29" s="347"/>
      <c r="G29" s="497"/>
    </row>
    <row r="30" spans="1:7" ht="18" customHeight="1">
      <c r="A30" s="346">
        <f>+'Bid Comparison '!A29</f>
        <v>0</v>
      </c>
      <c r="B30" s="609" t="s">
        <v>688</v>
      </c>
      <c r="C30" s="610"/>
      <c r="D30" s="347" t="s">
        <v>289</v>
      </c>
      <c r="E30" s="347" t="str">
        <f>+'Bid Comparison '!E29</f>
        <v>By Others</v>
      </c>
      <c r="F30" s="347"/>
      <c r="G30" s="497"/>
    </row>
    <row r="31" spans="1:7" ht="18" customHeight="1">
      <c r="A31" s="346">
        <f>+'Bid Comparison '!A30</f>
        <v>8520</v>
      </c>
      <c r="B31" s="349" t="str">
        <f>+'Bid Comparison '!B30</f>
        <v>Wood Windows</v>
      </c>
      <c r="C31" s="347"/>
      <c r="D31" s="347">
        <v>90000</v>
      </c>
      <c r="E31" s="347">
        <f>+'Bid Comparison '!E30</f>
        <v>45000</v>
      </c>
      <c r="F31" s="347">
        <f t="shared" si="0"/>
        <v>-45000</v>
      </c>
      <c r="G31" s="497"/>
    </row>
    <row r="32" spans="1:7" ht="18" customHeight="1">
      <c r="A32" s="346">
        <f>+'Bid Comparison '!A31</f>
        <v>8800</v>
      </c>
      <c r="B32" s="432" t="str">
        <f>+'Bid Comparison '!B31</f>
        <v>Architectural Metal &amp; Glass</v>
      </c>
      <c r="C32" s="433"/>
      <c r="D32" s="433">
        <v>229540</v>
      </c>
      <c r="E32" s="433">
        <f>+'Bid Comparison '!E31</f>
        <v>12200</v>
      </c>
      <c r="F32" s="347">
        <f t="shared" si="0"/>
        <v>-217340</v>
      </c>
      <c r="G32" s="497"/>
    </row>
    <row r="33" spans="1:7" ht="18" customHeight="1">
      <c r="A33" s="346">
        <f>+'Bid Comparison '!A32</f>
        <v>8810</v>
      </c>
      <c r="B33" s="349" t="str">
        <f>+'Bid Comparison '!B32</f>
        <v>Window Film</v>
      </c>
      <c r="C33" s="347"/>
      <c r="D33" s="347">
        <v>7000</v>
      </c>
      <c r="E33" s="347" t="str">
        <f>+'Bid Comparison '!E32</f>
        <v>Alternate</v>
      </c>
      <c r="F33" s="347">
        <f>-D33</f>
        <v>-7000</v>
      </c>
      <c r="G33" s="497"/>
    </row>
    <row r="34" spans="1:7" ht="18" customHeight="1">
      <c r="A34" s="346">
        <f>+'Bid Comparison '!A33</f>
        <v>8900</v>
      </c>
      <c r="B34" s="349" t="str">
        <f>+'Bid Comparison '!B33</f>
        <v>Window Walls</v>
      </c>
      <c r="C34" s="347"/>
      <c r="D34" s="347" t="s">
        <v>592</v>
      </c>
      <c r="E34" s="469" t="str">
        <f>+'Bid Comparison '!E33</f>
        <v>Alternate</v>
      </c>
      <c r="F34" s="347"/>
      <c r="G34" s="497"/>
    </row>
    <row r="35" spans="1:7">
      <c r="A35" s="346">
        <f>+'Bid Comparison '!A35</f>
        <v>9250</v>
      </c>
      <c r="B35" s="349" t="str">
        <f>+'Bid Comparison '!B35</f>
        <v>Drywall &amp; Carpentry</v>
      </c>
      <c r="C35" s="347"/>
      <c r="D35" s="347">
        <v>226376</v>
      </c>
      <c r="E35" s="347">
        <f>+'Bid Comparison '!E35</f>
        <v>214976</v>
      </c>
      <c r="F35" s="347">
        <f t="shared" si="0"/>
        <v>-11400</v>
      </c>
      <c r="G35" s="497"/>
    </row>
    <row r="36" spans="1:7">
      <c r="A36" s="346">
        <f>+'Bid Comparison '!A36</f>
        <v>9300</v>
      </c>
      <c r="B36" s="432" t="s">
        <v>545</v>
      </c>
      <c r="C36" s="503" t="s">
        <v>608</v>
      </c>
      <c r="D36" s="503">
        <v>68575</v>
      </c>
      <c r="E36" s="433">
        <f>+'Bid Comparison '!E36</f>
        <v>67075</v>
      </c>
      <c r="F36" s="347">
        <f t="shared" si="0"/>
        <v>-1500</v>
      </c>
      <c r="G36" s="497"/>
    </row>
    <row r="37" spans="1:7">
      <c r="A37" s="346">
        <f>+'Bid Comparison '!A37</f>
        <v>9550</v>
      </c>
      <c r="B37" s="432" t="str">
        <f>+'Bid Comparison '!B37</f>
        <v>Wood Flooring</v>
      </c>
      <c r="C37" s="501"/>
      <c r="D37" s="501">
        <v>127603</v>
      </c>
      <c r="E37" s="433">
        <f>+'Bid Comparison '!E37</f>
        <v>116853</v>
      </c>
      <c r="F37" s="347">
        <f t="shared" si="0"/>
        <v>-10750</v>
      </c>
      <c r="G37" s="497"/>
    </row>
    <row r="38" spans="1:7">
      <c r="A38" s="346"/>
      <c r="B38" s="432" t="str">
        <f>+'Bid Comparison '!B38</f>
        <v>Specialty Finishes</v>
      </c>
      <c r="C38" s="501"/>
      <c r="D38" s="501">
        <v>58098</v>
      </c>
      <c r="E38" s="433">
        <f>+'Bid Comparison '!E38</f>
        <v>55610</v>
      </c>
      <c r="F38" s="347">
        <f t="shared" si="0"/>
        <v>-2488</v>
      </c>
      <c r="G38" s="497"/>
    </row>
    <row r="39" spans="1:7">
      <c r="A39" s="346"/>
      <c r="B39" s="432" t="str">
        <f>+'Bid Comparison '!B39</f>
        <v>Artisan Plaster</v>
      </c>
      <c r="C39" s="501"/>
      <c r="D39" s="501">
        <v>131670</v>
      </c>
      <c r="E39" s="433">
        <f>+'Bid Comparison '!E39</f>
        <v>120650</v>
      </c>
      <c r="F39" s="347">
        <f t="shared" si="0"/>
        <v>-11020</v>
      </c>
      <c r="G39" s="497"/>
    </row>
    <row r="40" spans="1:7">
      <c r="A40" s="346">
        <f>+'Bid Comparison '!A40</f>
        <v>9900</v>
      </c>
      <c r="B40" s="432" t="str">
        <f>+'Bid Comparison '!B40</f>
        <v>Painting</v>
      </c>
      <c r="C40" s="501"/>
      <c r="D40" s="501">
        <v>48000</v>
      </c>
      <c r="E40" s="433">
        <f>+'Bid Comparison '!E40</f>
        <v>45000</v>
      </c>
      <c r="F40" s="347">
        <f t="shared" si="0"/>
        <v>-3000</v>
      </c>
      <c r="G40" s="497"/>
    </row>
    <row r="41" spans="1:7">
      <c r="A41" s="346">
        <f>+'Bid Comparison '!A41</f>
        <v>10800</v>
      </c>
      <c r="B41" s="349" t="str">
        <f>+'Bid Comparison '!B41</f>
        <v>Toilet Accessories</v>
      </c>
      <c r="C41" s="502"/>
      <c r="D41" s="502" t="s">
        <v>408</v>
      </c>
      <c r="E41" s="347" t="s">
        <v>408</v>
      </c>
      <c r="F41" s="347"/>
      <c r="G41" s="497"/>
    </row>
    <row r="42" spans="1:7">
      <c r="A42" s="346">
        <f>+'Bid Comparison '!A42</f>
        <v>11450</v>
      </c>
      <c r="B42" s="349" t="str">
        <f>+'Bid Comparison '!B42</f>
        <v xml:space="preserve">Appliances </v>
      </c>
      <c r="C42" s="503" t="s">
        <v>577</v>
      </c>
      <c r="D42" s="503">
        <v>10000</v>
      </c>
      <c r="E42" s="433">
        <v>0</v>
      </c>
      <c r="F42" s="347">
        <f t="shared" si="0"/>
        <v>-10000</v>
      </c>
      <c r="G42" s="497"/>
    </row>
    <row r="43" spans="1:7">
      <c r="A43" s="346">
        <f>+'Bid Comparison '!A43</f>
        <v>11750</v>
      </c>
      <c r="B43" s="349" t="str">
        <f>+'Bid Comparison '!B43</f>
        <v>Fireplace</v>
      </c>
      <c r="C43" s="503"/>
      <c r="D43" s="503">
        <v>12500</v>
      </c>
      <c r="E43" s="347" t="s">
        <v>687</v>
      </c>
      <c r="F43" s="347">
        <f>-D43</f>
        <v>-12500</v>
      </c>
      <c r="G43" s="497"/>
    </row>
    <row r="44" spans="1:7">
      <c r="A44" s="346">
        <f>+'Bid Comparison '!A44</f>
        <v>12500</v>
      </c>
      <c r="B44" s="349" t="str">
        <f>+'Bid Comparison '!B44</f>
        <v>Window Treatment</v>
      </c>
      <c r="C44" s="347"/>
      <c r="D44" s="347" t="s">
        <v>289</v>
      </c>
      <c r="E44" s="347" t="str">
        <f>+'Bid Comparison '!E44</f>
        <v>By Others</v>
      </c>
      <c r="F44" s="347"/>
      <c r="G44" s="497"/>
    </row>
    <row r="45" spans="1:7">
      <c r="A45" s="346">
        <v>13500</v>
      </c>
      <c r="B45" s="349" t="s">
        <v>271</v>
      </c>
      <c r="C45" s="347"/>
      <c r="D45" s="347" t="s">
        <v>687</v>
      </c>
      <c r="E45" s="347" t="s">
        <v>408</v>
      </c>
      <c r="F45" s="347"/>
      <c r="G45" s="497"/>
    </row>
    <row r="46" spans="1:7">
      <c r="A46" s="346"/>
      <c r="B46" s="349" t="s">
        <v>595</v>
      </c>
      <c r="C46" s="347"/>
      <c r="D46" s="347"/>
      <c r="E46" s="347"/>
      <c r="F46" s="347">
        <f t="shared" si="0"/>
        <v>0</v>
      </c>
      <c r="G46" s="497"/>
    </row>
    <row r="47" spans="1:7">
      <c r="A47" s="346">
        <f>+'Bid Comparison '!A46</f>
        <v>14200</v>
      </c>
      <c r="B47" s="349" t="str">
        <f>+'Bid Comparison '!B46</f>
        <v>Elevator Work</v>
      </c>
      <c r="C47" s="347"/>
      <c r="D47" s="347">
        <v>124750</v>
      </c>
      <c r="E47" s="347">
        <f>+'Bid Comparison '!E46</f>
        <v>124750</v>
      </c>
      <c r="F47" s="347">
        <f t="shared" si="0"/>
        <v>0</v>
      </c>
      <c r="G47" s="497"/>
    </row>
    <row r="48" spans="1:7">
      <c r="A48" s="346">
        <f>+'Bid Comparison '!A50</f>
        <v>15600</v>
      </c>
      <c r="B48" s="349" t="str">
        <f>+'Bid Comparison '!B50</f>
        <v>HVAC</v>
      </c>
      <c r="C48" s="347"/>
      <c r="D48" s="347">
        <v>510000</v>
      </c>
      <c r="E48" s="347">
        <f>+'Bid Comparison '!E50</f>
        <v>495000</v>
      </c>
      <c r="F48" s="347">
        <f t="shared" si="0"/>
        <v>-15000</v>
      </c>
      <c r="G48" s="497"/>
    </row>
    <row r="49" spans="1:10">
      <c r="A49" s="346">
        <f>+'Bid Comparison '!A47</f>
        <v>15400</v>
      </c>
      <c r="B49" s="349" t="str">
        <f>+'Bid Comparison '!B47</f>
        <v>Plumbing</v>
      </c>
      <c r="C49" s="347"/>
      <c r="D49" s="347">
        <v>370000</v>
      </c>
      <c r="E49" s="347">
        <f>+'Bid Comparison '!E47</f>
        <v>315000</v>
      </c>
      <c r="F49" s="347">
        <f t="shared" si="0"/>
        <v>-55000</v>
      </c>
      <c r="G49" s="497"/>
    </row>
    <row r="50" spans="1:10">
      <c r="A50" s="346">
        <f>+'Bid Comparison '!A48</f>
        <v>15450</v>
      </c>
      <c r="B50" s="349" t="str">
        <f>+'Bid Comparison '!B48</f>
        <v>Plumbing Fixtures</v>
      </c>
      <c r="C50" s="347"/>
      <c r="D50" s="347" t="s">
        <v>687</v>
      </c>
      <c r="E50" s="347" t="str">
        <f>+'Bid Comparison '!E48</f>
        <v>Furnished By the Owner</v>
      </c>
      <c r="F50" s="347"/>
      <c r="G50" s="497"/>
    </row>
    <row r="51" spans="1:10">
      <c r="A51" s="346">
        <f>+'Bid Comparison '!A49</f>
        <v>15500</v>
      </c>
      <c r="B51" s="349" t="str">
        <f>+'Bid Comparison '!B49</f>
        <v>Sprinklers</v>
      </c>
      <c r="C51" s="347"/>
      <c r="D51" s="347">
        <v>76400</v>
      </c>
      <c r="E51" s="347">
        <f>+'Bid Comparison '!E49</f>
        <v>70400</v>
      </c>
      <c r="F51" s="347">
        <f t="shared" si="0"/>
        <v>-6000</v>
      </c>
      <c r="G51" s="497"/>
    </row>
    <row r="52" spans="1:10">
      <c r="A52" s="346">
        <f>+'Bid Comparison '!A51</f>
        <v>16000</v>
      </c>
      <c r="B52" s="349" t="str">
        <f>+'Bid Comparison '!B51</f>
        <v>Electric</v>
      </c>
      <c r="C52" s="347"/>
      <c r="D52" s="347">
        <v>285900</v>
      </c>
      <c r="E52" s="347">
        <f>+'Bid Comparison '!E51</f>
        <v>192900</v>
      </c>
      <c r="F52" s="347">
        <f t="shared" si="0"/>
        <v>-93000</v>
      </c>
      <c r="G52" s="497"/>
    </row>
    <row r="53" spans="1:10">
      <c r="A53" s="346">
        <f>+'Bid Comparison '!A52</f>
        <v>0</v>
      </c>
      <c r="B53" s="349" t="str">
        <f>+'Bid Comparison '!B52</f>
        <v>Electric Radiant Heat</v>
      </c>
      <c r="C53" s="347"/>
      <c r="D53" s="347">
        <v>168700</v>
      </c>
      <c r="E53" s="347">
        <f>+'Bid Comparison '!E52</f>
        <v>168700</v>
      </c>
      <c r="F53" s="347">
        <f t="shared" si="0"/>
        <v>0</v>
      </c>
      <c r="G53" s="497"/>
    </row>
    <row r="54" spans="1:10">
      <c r="A54" s="346">
        <f>+'Bid Comparison '!A57</f>
        <v>16500</v>
      </c>
      <c r="B54" s="349" t="str">
        <f>+'Bid Comparison '!B57</f>
        <v>Light Fixtures</v>
      </c>
      <c r="C54" s="347"/>
      <c r="D54" s="347" t="s">
        <v>408</v>
      </c>
      <c r="E54" s="347" t="s">
        <v>408</v>
      </c>
      <c r="F54" s="347"/>
      <c r="G54" s="497"/>
    </row>
    <row r="55" spans="1:10">
      <c r="A55" s="346">
        <f>+'Bid Comparison '!A56</f>
        <v>16300</v>
      </c>
      <c r="B55" s="349" t="str">
        <f>+'Bid Comparison '!B56</f>
        <v>Communications Cabling</v>
      </c>
      <c r="C55" s="347"/>
      <c r="D55" s="347" t="s">
        <v>289</v>
      </c>
      <c r="E55" s="347" t="str">
        <f>+'Bid Comparison '!E56</f>
        <v>By Others</v>
      </c>
      <c r="F55" s="347"/>
      <c r="G55" s="497"/>
    </row>
    <row r="56" spans="1:10" ht="15.3" thickBot="1">
      <c r="A56" s="346">
        <f>+'Bid Comparison '!A58</f>
        <v>17300</v>
      </c>
      <c r="B56" s="349" t="str">
        <f>+'Bid Comparison '!B58</f>
        <v>Security Systems</v>
      </c>
      <c r="C56" s="347"/>
      <c r="D56" s="347" t="s">
        <v>289</v>
      </c>
      <c r="E56" s="347" t="str">
        <f>+'Bid Comparison '!E58</f>
        <v>By Others</v>
      </c>
      <c r="F56" s="347"/>
      <c r="G56" s="497"/>
    </row>
    <row r="57" spans="1:10" ht="15.6" thickTop="1" thickBot="1">
      <c r="A57" s="345"/>
      <c r="B57" s="344" t="s">
        <v>74</v>
      </c>
      <c r="C57" s="343"/>
      <c r="D57" s="343">
        <v>5704706</v>
      </c>
      <c r="E57" s="343">
        <f>SUM(E10:E56)</f>
        <v>4782649</v>
      </c>
      <c r="F57" s="343">
        <f t="shared" si="0"/>
        <v>-922057</v>
      </c>
      <c r="G57" s="435"/>
    </row>
    <row r="58" spans="1:10" ht="15.3" thickBot="1">
      <c r="A58" s="342"/>
      <c r="B58" s="350" t="s">
        <v>62</v>
      </c>
      <c r="C58" s="351"/>
      <c r="D58" s="351">
        <v>470638.245</v>
      </c>
      <c r="E58" s="351">
        <f>+E57*RFE!F20</f>
        <v>346742.05249999999</v>
      </c>
      <c r="F58" s="351">
        <f t="shared" si="0"/>
        <v>-123896.1925</v>
      </c>
      <c r="G58" s="497"/>
      <c r="H58" s="422">
        <f>+E58+E10</f>
        <v>711542.05249999999</v>
      </c>
      <c r="I58" s="422">
        <f>+E57-E10</f>
        <v>4417849</v>
      </c>
      <c r="J58" s="424">
        <f>+H58/I58</f>
        <v>0.16106074528577141</v>
      </c>
    </row>
    <row r="59" spans="1:10" ht="15.3" thickBot="1">
      <c r="A59" s="342"/>
      <c r="B59" s="350" t="s">
        <v>99</v>
      </c>
      <c r="C59" s="351"/>
      <c r="D59" s="351">
        <v>154384</v>
      </c>
      <c r="E59" s="351">
        <f>ROUND(SUM(E57:E58)*RFE!F21,0)</f>
        <v>128235</v>
      </c>
      <c r="F59" s="351">
        <v>-20900</v>
      </c>
      <c r="G59" s="497"/>
      <c r="H59" s="422" t="s">
        <v>518</v>
      </c>
      <c r="I59" s="422" t="s">
        <v>527</v>
      </c>
      <c r="J59" s="423" t="s">
        <v>528</v>
      </c>
    </row>
    <row r="60" spans="1:10" ht="15.3" thickBot="1">
      <c r="A60" s="342"/>
      <c r="B60" s="350" t="s">
        <v>67</v>
      </c>
      <c r="C60" s="351"/>
      <c r="D60" s="351">
        <v>221540</v>
      </c>
      <c r="E60" s="351">
        <f>ROUND(SUM(E57:E59)*RFE!F22,0)</f>
        <v>170873</v>
      </c>
      <c r="F60" s="351">
        <f t="shared" si="0"/>
        <v>-50667</v>
      </c>
      <c r="G60" s="497"/>
    </row>
    <row r="61" spans="1:10" ht="15.3" thickBot="1">
      <c r="A61" s="352"/>
      <c r="B61" s="353" t="s">
        <v>68</v>
      </c>
      <c r="C61" s="354"/>
      <c r="D61" s="354">
        <v>6551268.2450000001</v>
      </c>
      <c r="E61" s="354">
        <f>SUM(E57:E60)</f>
        <v>5428499.0525000002</v>
      </c>
      <c r="F61" s="354">
        <f t="shared" si="0"/>
        <v>-1122769.1924999999</v>
      </c>
      <c r="G61" s="435"/>
      <c r="I61" s="47">
        <f>SUM(E58:E60)</f>
        <v>645850.05249999999</v>
      </c>
    </row>
    <row r="62" spans="1:10" ht="23.65" customHeight="1" thickBot="1">
      <c r="A62" s="434"/>
      <c r="B62" s="434"/>
      <c r="C62" s="435"/>
      <c r="D62" s="435"/>
      <c r="E62" s="435"/>
      <c r="F62" s="435"/>
      <c r="G62" s="435"/>
      <c r="I62" s="47">
        <f>I61/E57</f>
        <v>0.13504023659273343</v>
      </c>
    </row>
    <row r="63" spans="1:10" ht="17.7">
      <c r="A63" s="436"/>
      <c r="B63" s="443" t="s">
        <v>539</v>
      </c>
      <c r="C63" s="437"/>
      <c r="D63" s="437"/>
      <c r="E63" s="438"/>
      <c r="F63" s="498"/>
      <c r="G63" s="498"/>
    </row>
    <row r="64" spans="1:10">
      <c r="A64" s="439"/>
      <c r="B64" s="611" t="s">
        <v>605</v>
      </c>
      <c r="C64" s="612"/>
      <c r="D64" s="613"/>
      <c r="E64" s="444"/>
      <c r="F64" s="499"/>
      <c r="G64" s="499"/>
    </row>
    <row r="65" spans="1:7">
      <c r="A65" s="439"/>
      <c r="B65" s="441" t="s">
        <v>389</v>
      </c>
      <c r="C65" s="442">
        <v>173400</v>
      </c>
      <c r="D65" s="492"/>
      <c r="E65" s="444"/>
      <c r="F65" s="499"/>
      <c r="G65" s="499"/>
    </row>
    <row r="66" spans="1:7">
      <c r="A66" s="439"/>
      <c r="B66" s="441" t="s">
        <v>413</v>
      </c>
      <c r="C66" s="442">
        <v>125000</v>
      </c>
      <c r="D66" s="492"/>
      <c r="E66" s="444"/>
      <c r="F66" s="499"/>
      <c r="G66" s="499"/>
    </row>
    <row r="67" spans="1:7" ht="15.3" thickBot="1">
      <c r="A67" s="439"/>
      <c r="B67" s="441" t="s">
        <v>538</v>
      </c>
      <c r="C67" s="442">
        <v>50000</v>
      </c>
      <c r="D67" s="492"/>
      <c r="E67" s="444"/>
      <c r="F67" s="499"/>
      <c r="G67" s="499"/>
    </row>
    <row r="68" spans="1:7" ht="15.6" thickTop="1" thickBot="1">
      <c r="A68" s="439"/>
      <c r="B68" s="344" t="s">
        <v>74</v>
      </c>
      <c r="C68" s="343"/>
      <c r="D68" s="343"/>
      <c r="E68" s="343">
        <f>SUM(C65:C68)</f>
        <v>348400</v>
      </c>
      <c r="F68" s="435"/>
      <c r="G68" s="435"/>
    </row>
    <row r="69" spans="1:7" ht="15.3" thickBot="1">
      <c r="A69" s="439"/>
      <c r="B69" s="350" t="s">
        <v>62</v>
      </c>
      <c r="C69" s="351"/>
      <c r="D69" s="351"/>
      <c r="E69" s="351">
        <f>SUM(E68)*RFE!$F$20</f>
        <v>25259</v>
      </c>
      <c r="F69" s="497"/>
      <c r="G69" s="497"/>
    </row>
    <row r="70" spans="1:7" ht="15.3" thickBot="1">
      <c r="A70" s="439"/>
      <c r="B70" s="350" t="s">
        <v>99</v>
      </c>
      <c r="C70" s="351"/>
      <c r="D70" s="351"/>
      <c r="E70" s="351">
        <f>SUM(E68:E69)*RFE!$F$21</f>
        <v>9341.4750000000004</v>
      </c>
      <c r="F70" s="497"/>
      <c r="G70" s="497"/>
    </row>
    <row r="71" spans="1:7" ht="15.3" thickBot="1">
      <c r="A71" s="439"/>
      <c r="B71" s="350" t="s">
        <v>67</v>
      </c>
      <c r="C71" s="351"/>
      <c r="D71" s="351"/>
      <c r="E71" s="351">
        <f>SUM(E68:E70)*RFE!$F$22</f>
        <v>12447.5154375</v>
      </c>
      <c r="F71" s="497"/>
      <c r="G71" s="497"/>
    </row>
    <row r="72" spans="1:7" ht="15.3" thickBot="1">
      <c r="A72" s="440"/>
      <c r="B72" s="353" t="s">
        <v>68</v>
      </c>
      <c r="C72" s="354"/>
      <c r="D72" s="354"/>
      <c r="E72" s="354">
        <f>SUM(E68:E71)</f>
        <v>395447.9904375</v>
      </c>
      <c r="F72" s="435"/>
      <c r="G72" s="435"/>
    </row>
    <row r="73" spans="1:7" ht="15.3" thickBot="1"/>
    <row r="74" spans="1:7" ht="17.7">
      <c r="A74" s="436"/>
      <c r="B74" s="443" t="s">
        <v>390</v>
      </c>
      <c r="C74" s="437"/>
      <c r="D74" s="437"/>
      <c r="E74" s="438"/>
      <c r="F74" s="498"/>
      <c r="G74" s="498"/>
    </row>
    <row r="75" spans="1:7" ht="32.65" customHeight="1" thickBot="1">
      <c r="A75" s="439"/>
      <c r="B75" s="614" t="s">
        <v>615</v>
      </c>
      <c r="C75" s="615"/>
      <c r="D75" s="616"/>
      <c r="E75" s="444"/>
      <c r="F75" s="499"/>
      <c r="G75" s="499"/>
    </row>
    <row r="76" spans="1:7" ht="15.6" thickTop="1" thickBot="1">
      <c r="A76" s="439"/>
      <c r="B76" s="344" t="s">
        <v>74</v>
      </c>
      <c r="C76" s="343"/>
      <c r="D76" s="343"/>
      <c r="E76" s="343">
        <f>+'Bid Comparison '!J34</f>
        <v>366200</v>
      </c>
      <c r="F76" s="435"/>
      <c r="G76" s="435"/>
    </row>
    <row r="77" spans="1:7" ht="15.3" thickBot="1">
      <c r="A77" s="439"/>
      <c r="B77" s="350" t="s">
        <v>62</v>
      </c>
      <c r="C77" s="351"/>
      <c r="D77" s="351"/>
      <c r="E77" s="351">
        <f>SUM(E76)*RFE!$F$20</f>
        <v>26549.499999999996</v>
      </c>
      <c r="F77" s="497"/>
      <c r="G77" s="497"/>
    </row>
    <row r="78" spans="1:7" ht="15.3" thickBot="1">
      <c r="A78" s="439"/>
      <c r="B78" s="350" t="s">
        <v>99</v>
      </c>
      <c r="C78" s="351"/>
      <c r="D78" s="351"/>
      <c r="E78" s="351">
        <f>SUM(E76:E77)*RFE!$F$21</f>
        <v>9818.7375000000011</v>
      </c>
      <c r="F78" s="497"/>
      <c r="G78" s="497"/>
    </row>
    <row r="79" spans="1:7" ht="15.3" thickBot="1">
      <c r="A79" s="439"/>
      <c r="B79" s="350" t="s">
        <v>67</v>
      </c>
      <c r="C79" s="351"/>
      <c r="D79" s="351"/>
      <c r="E79" s="351">
        <f>SUM(E76:E78)*RFE!$F$22</f>
        <v>13083.46771875</v>
      </c>
      <c r="F79" s="497"/>
      <c r="G79" s="497"/>
    </row>
    <row r="80" spans="1:7" ht="15.3" thickBot="1">
      <c r="A80" s="440"/>
      <c r="B80" s="353" t="s">
        <v>68</v>
      </c>
      <c r="C80" s="354"/>
      <c r="D80" s="354"/>
      <c r="E80" s="354">
        <f>SUM(E76:E79)</f>
        <v>415651.70521874999</v>
      </c>
      <c r="F80" s="435"/>
      <c r="G80" s="435"/>
    </row>
    <row r="81" spans="1:7" ht="15.3" thickBot="1"/>
    <row r="82" spans="1:7" ht="17.7">
      <c r="A82" s="436"/>
      <c r="B82" s="443" t="s">
        <v>594</v>
      </c>
      <c r="C82" s="437"/>
      <c r="D82" s="437"/>
      <c r="E82" s="438"/>
      <c r="F82" s="498"/>
      <c r="G82" s="498"/>
    </row>
    <row r="83" spans="1:7" ht="19" customHeight="1" thickBot="1">
      <c r="A83" s="439"/>
      <c r="B83" s="614" t="s">
        <v>597</v>
      </c>
      <c r="C83" s="615"/>
      <c r="D83" s="616"/>
      <c r="E83" s="444"/>
      <c r="F83" s="499"/>
      <c r="G83" s="499"/>
    </row>
    <row r="84" spans="1:7" ht="15.6" thickTop="1" thickBot="1">
      <c r="A84" s="439"/>
      <c r="B84" s="344" t="s">
        <v>74</v>
      </c>
      <c r="C84" s="343"/>
      <c r="D84" s="343"/>
      <c r="E84" s="343">
        <f>187000+9000</f>
        <v>196000</v>
      </c>
      <c r="F84" s="435"/>
      <c r="G84" s="435"/>
    </row>
    <row r="85" spans="1:7" ht="15.3" thickBot="1">
      <c r="A85" s="439"/>
      <c r="B85" s="350" t="s">
        <v>62</v>
      </c>
      <c r="C85" s="351"/>
      <c r="D85" s="351"/>
      <c r="E85" s="351">
        <f>SUM(E84)*RFE!$F$20</f>
        <v>14209.999999999998</v>
      </c>
      <c r="F85" s="497"/>
      <c r="G85" s="497"/>
    </row>
    <row r="86" spans="1:7" ht="15.3" thickBot="1">
      <c r="A86" s="439"/>
      <c r="B86" s="350" t="s">
        <v>99</v>
      </c>
      <c r="C86" s="351"/>
      <c r="D86" s="351"/>
      <c r="E86" s="351">
        <f>SUM(E84:E85)*RFE!$F$21</f>
        <v>5255.25</v>
      </c>
      <c r="F86" s="497"/>
      <c r="G86" s="497"/>
    </row>
    <row r="87" spans="1:7" ht="15.3" thickBot="1">
      <c r="A87" s="439"/>
      <c r="B87" s="350" t="s">
        <v>67</v>
      </c>
      <c r="C87" s="351"/>
      <c r="D87" s="351"/>
      <c r="E87" s="351">
        <f>SUM(E84:E86)*RFE!$F$22</f>
        <v>7002.6206250000005</v>
      </c>
      <c r="F87" s="497"/>
      <c r="G87" s="497"/>
    </row>
    <row r="88" spans="1:7" ht="15.3" thickBot="1">
      <c r="A88" s="440"/>
      <c r="B88" s="353" t="s">
        <v>68</v>
      </c>
      <c r="C88" s="354"/>
      <c r="D88" s="354"/>
      <c r="E88" s="354">
        <f>SUM(E84:E87)</f>
        <v>222467.87062500001</v>
      </c>
      <c r="F88" s="435"/>
      <c r="G88" s="435"/>
    </row>
    <row r="89" spans="1:7" ht="15.3" thickBot="1"/>
    <row r="90" spans="1:7" ht="17.7">
      <c r="A90" s="436"/>
      <c r="B90" s="443" t="s">
        <v>614</v>
      </c>
      <c r="C90" s="437"/>
      <c r="D90" s="437"/>
      <c r="E90" s="438"/>
      <c r="F90" s="498"/>
      <c r="G90" s="498"/>
    </row>
    <row r="91" spans="1:7">
      <c r="A91" s="439"/>
      <c r="B91" s="605" t="str">
        <f>+Estimate!C455</f>
        <v>Specialty Glass work at cellar and bathrooms</v>
      </c>
      <c r="C91" s="606"/>
      <c r="D91" s="493"/>
      <c r="E91" s="444"/>
      <c r="F91" s="499"/>
      <c r="G91" s="499"/>
    </row>
    <row r="92" spans="1:7" ht="27" customHeight="1">
      <c r="A92" s="439"/>
      <c r="B92" s="607" t="s">
        <v>560</v>
      </c>
      <c r="C92" s="608"/>
      <c r="D92" s="608"/>
      <c r="E92" s="485"/>
      <c r="F92" s="499"/>
      <c r="G92" s="499"/>
    </row>
    <row r="93" spans="1:7">
      <c r="A93" s="439"/>
      <c r="B93" s="607" t="s">
        <v>561</v>
      </c>
      <c r="C93" s="608"/>
      <c r="D93" s="608"/>
      <c r="E93" s="485"/>
      <c r="F93" s="499"/>
      <c r="G93" s="499"/>
    </row>
    <row r="94" spans="1:7">
      <c r="A94" s="439"/>
      <c r="B94" s="607" t="s">
        <v>575</v>
      </c>
      <c r="C94" s="608"/>
      <c r="D94" s="608"/>
      <c r="E94" s="485"/>
      <c r="F94" s="499"/>
      <c r="G94" s="499"/>
    </row>
    <row r="95" spans="1:7">
      <c r="A95" s="439"/>
      <c r="B95" s="607" t="s">
        <v>606</v>
      </c>
      <c r="C95" s="608"/>
      <c r="D95" s="608"/>
      <c r="E95" s="485"/>
      <c r="F95" s="499"/>
      <c r="G95" s="499"/>
    </row>
    <row r="96" spans="1:7">
      <c r="A96" s="439"/>
      <c r="B96" s="607" t="s">
        <v>562</v>
      </c>
      <c r="C96" s="608"/>
      <c r="D96" s="608"/>
      <c r="E96" s="485"/>
      <c r="F96" s="499"/>
      <c r="G96" s="499"/>
    </row>
    <row r="97" spans="1:7">
      <c r="A97" s="439"/>
      <c r="B97" s="607" t="s">
        <v>297</v>
      </c>
      <c r="C97" s="608"/>
      <c r="D97" s="608"/>
      <c r="E97" s="485"/>
      <c r="F97" s="499"/>
      <c r="G97" s="499"/>
    </row>
    <row r="98" spans="1:7">
      <c r="A98" s="439"/>
      <c r="B98" s="607" t="s">
        <v>683</v>
      </c>
      <c r="C98" s="608"/>
      <c r="D98" s="608"/>
      <c r="E98" s="485"/>
      <c r="F98" s="499"/>
      <c r="G98" s="499"/>
    </row>
    <row r="99" spans="1:7">
      <c r="A99" s="439"/>
      <c r="B99" s="566" t="s">
        <v>685</v>
      </c>
      <c r="C99" s="567"/>
      <c r="D99" s="567"/>
      <c r="E99" s="485"/>
      <c r="F99" s="499"/>
      <c r="G99" s="499"/>
    </row>
    <row r="100" spans="1:7" ht="15.6" customHeight="1" thickBot="1">
      <c r="A100" s="439"/>
      <c r="B100" s="607" t="s">
        <v>684</v>
      </c>
      <c r="C100" s="608"/>
      <c r="D100" s="608"/>
      <c r="E100" s="485"/>
      <c r="F100" s="499"/>
      <c r="G100" s="499"/>
    </row>
    <row r="101" spans="1:7" ht="15.6" thickTop="1" thickBot="1">
      <c r="A101" s="439"/>
      <c r="B101" s="344" t="s">
        <v>74</v>
      </c>
      <c r="C101" s="343"/>
      <c r="D101" s="343"/>
      <c r="E101" s="343">
        <f>+Estimate!H465</f>
        <v>150700</v>
      </c>
      <c r="F101" s="435"/>
      <c r="G101" s="435"/>
    </row>
    <row r="102" spans="1:7" ht="15.3" thickBot="1">
      <c r="A102" s="439"/>
      <c r="B102" s="350" t="s">
        <v>62</v>
      </c>
      <c r="C102" s="351"/>
      <c r="D102" s="351"/>
      <c r="E102" s="351">
        <f>SUM(E101)*RFE!$F$20</f>
        <v>10925.75</v>
      </c>
      <c r="F102" s="497"/>
      <c r="G102" s="497"/>
    </row>
    <row r="103" spans="1:7" ht="15.3" thickBot="1">
      <c r="A103" s="439"/>
      <c r="B103" s="350" t="s">
        <v>99</v>
      </c>
      <c r="C103" s="351"/>
      <c r="D103" s="351"/>
      <c r="E103" s="351">
        <f>SUM(E101:E102)*RFE!$F$21</f>
        <v>4040.6437500000002</v>
      </c>
      <c r="F103" s="497"/>
      <c r="G103" s="497"/>
    </row>
    <row r="104" spans="1:7" ht="15.3" thickBot="1">
      <c r="A104" s="439"/>
      <c r="B104" s="350" t="s">
        <v>67</v>
      </c>
      <c r="C104" s="351"/>
      <c r="D104" s="351"/>
      <c r="E104" s="351">
        <f>SUM(E101:E103)*RFE!$F$22</f>
        <v>5384.1577968749998</v>
      </c>
      <c r="F104" s="497"/>
      <c r="G104" s="497"/>
    </row>
    <row r="105" spans="1:7" ht="15.3" thickBot="1">
      <c r="A105" s="440"/>
      <c r="B105" s="353" t="s">
        <v>68</v>
      </c>
      <c r="C105" s="354"/>
      <c r="D105" s="354"/>
      <c r="E105" s="354">
        <f>SUM(E101:E104)</f>
        <v>171050.55154687498</v>
      </c>
      <c r="F105" s="435"/>
      <c r="G105" s="435"/>
    </row>
    <row r="107" spans="1:7">
      <c r="B107" s="650" t="s">
        <v>690</v>
      </c>
      <c r="C107" s="651"/>
      <c r="D107" s="651"/>
      <c r="E107" s="652"/>
    </row>
    <row r="108" spans="1:7">
      <c r="B108" s="653" t="s">
        <v>694</v>
      </c>
      <c r="C108" s="654"/>
      <c r="D108" s="654"/>
      <c r="E108" s="655"/>
    </row>
    <row r="109" spans="1:7">
      <c r="B109" s="656" t="s">
        <v>692</v>
      </c>
      <c r="C109" s="657"/>
      <c r="D109" s="657"/>
      <c r="E109" s="655"/>
    </row>
    <row r="110" spans="1:7" ht="15.3" thickBot="1">
      <c r="B110" s="656" t="s">
        <v>693</v>
      </c>
      <c r="C110" s="657"/>
      <c r="D110" s="657"/>
      <c r="E110" s="655"/>
    </row>
    <row r="111" spans="1:7" ht="15.6" thickTop="1" thickBot="1">
      <c r="B111" s="658" t="s">
        <v>74</v>
      </c>
      <c r="C111" s="343"/>
      <c r="D111" s="343"/>
      <c r="E111" s="659">
        <f>+Estimate!H476</f>
        <v>37000</v>
      </c>
    </row>
    <row r="112" spans="1:7" ht="15.3" thickBot="1">
      <c r="B112" s="660" t="s">
        <v>62</v>
      </c>
      <c r="C112" s="351"/>
      <c r="D112" s="351"/>
      <c r="E112" s="661">
        <f>SUM(E111)*RFE!$F$20</f>
        <v>2682.5</v>
      </c>
    </row>
    <row r="113" spans="2:5" ht="15.3" thickBot="1">
      <c r="B113" s="660" t="s">
        <v>99</v>
      </c>
      <c r="C113" s="351"/>
      <c r="D113" s="351"/>
      <c r="E113" s="661">
        <f>SUM(E111:E112)*RFE!$F$21</f>
        <v>992.0625</v>
      </c>
    </row>
    <row r="114" spans="2:5" ht="15.3" thickBot="1">
      <c r="B114" s="660" t="s">
        <v>67</v>
      </c>
      <c r="C114" s="351"/>
      <c r="D114" s="351"/>
      <c r="E114" s="661">
        <f>SUM(E111:E113)*RFE!$F$22</f>
        <v>1321.9232812499999</v>
      </c>
    </row>
    <row r="115" spans="2:5" ht="15.3" thickBot="1">
      <c r="B115" s="662" t="s">
        <v>68</v>
      </c>
      <c r="C115" s="354"/>
      <c r="D115" s="354"/>
      <c r="E115" s="663">
        <f>SUM(E111:E114)</f>
        <v>41996.485781249998</v>
      </c>
    </row>
  </sheetData>
  <mergeCells count="16">
    <mergeCell ref="B98:D98"/>
    <mergeCell ref="B100:D100"/>
    <mergeCell ref="B109:D109"/>
    <mergeCell ref="B110:D110"/>
    <mergeCell ref="B96:D96"/>
    <mergeCell ref="B97:D97"/>
    <mergeCell ref="B13:C13"/>
    <mergeCell ref="B30:C30"/>
    <mergeCell ref="B64:D64"/>
    <mergeCell ref="B75:D75"/>
    <mergeCell ref="B83:D83"/>
    <mergeCell ref="B91:C91"/>
    <mergeCell ref="B92:D92"/>
    <mergeCell ref="B93:D93"/>
    <mergeCell ref="B94:D94"/>
    <mergeCell ref="B95:D95"/>
  </mergeCells>
  <phoneticPr fontId="0" type="noConversion"/>
  <printOptions horizontalCentered="1"/>
  <pageMargins left="0.5" right="0.5" top="0.5" bottom="0.25" header="0.5" footer="0.25"/>
  <pageSetup scale="68" orientation="portrait" r:id="rId1"/>
  <headerFooter alignWithMargins="0">
    <oddFooter>Page &amp;P</oddFooter>
  </headerFooter>
  <rowBreaks count="1" manualBreakCount="1">
    <brk id="61" max="5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362E-4DB1-48B8-A598-F5E1813FCAD9}">
  <dimension ref="A1:E48"/>
  <sheetViews>
    <sheetView workbookViewId="0"/>
    <sheetView view="pageBreakPreview" topLeftCell="A3" zoomScaleNormal="100" zoomScaleSheetLayoutView="100" workbookViewId="1">
      <selection activeCell="A7" sqref="A7:C7"/>
    </sheetView>
  </sheetViews>
  <sheetFormatPr defaultRowHeight="15"/>
  <cols>
    <col min="2" max="2" width="22.76953125" customWidth="1"/>
    <col min="3" max="3" width="85.453125" customWidth="1"/>
  </cols>
  <sheetData>
    <row r="1" spans="1:5" s="49" customFormat="1" ht="35.25" customHeight="1">
      <c r="A1" s="150"/>
    </row>
    <row r="2" spans="1:5" s="49" customFormat="1" ht="28.5" customHeight="1">
      <c r="A2" s="151"/>
    </row>
    <row r="3" spans="1:5" s="49" customFormat="1" ht="46" customHeight="1">
      <c r="A3" s="619" t="str">
        <f>Estimate!C2</f>
        <v>Town House Renovation</v>
      </c>
      <c r="B3" s="619"/>
      <c r="C3" s="620"/>
      <c r="D3" s="6"/>
      <c r="E3" s="5"/>
    </row>
    <row r="4" spans="1:5" s="49" customFormat="1" ht="15" customHeight="1">
      <c r="A4" s="621" t="str">
        <f>Estimate!C3</f>
        <v>60 Bank Street</v>
      </c>
      <c r="B4" s="621"/>
      <c r="C4" s="622"/>
      <c r="D4" s="6"/>
      <c r="E4" s="8"/>
    </row>
    <row r="5" spans="1:5" s="49" customFormat="1" ht="15" customHeight="1">
      <c r="A5" s="621" t="str">
        <f>Estimate!C4</f>
        <v>New York, NY 10014</v>
      </c>
      <c r="B5" s="621"/>
      <c r="C5" s="622"/>
      <c r="D5" s="6"/>
      <c r="E5" s="8"/>
    </row>
    <row r="6" spans="1:5" s="49" customFormat="1" ht="15" customHeight="1">
      <c r="A6" s="621" t="str">
        <f>CONCATENATE("Proposal #",RFE!E14)</f>
        <v>Proposal #24-038C</v>
      </c>
      <c r="B6" s="621"/>
      <c r="C6" s="622"/>
    </row>
    <row r="7" spans="1:5" s="49" customFormat="1" ht="15" customHeight="1">
      <c r="A7" s="617" t="s">
        <v>661</v>
      </c>
      <c r="B7" s="617"/>
      <c r="C7" s="618"/>
    </row>
    <row r="8" spans="1:5" ht="15.3" thickBot="1"/>
    <row r="9" spans="1:5" ht="15.3" thickBot="1">
      <c r="A9" s="505" t="s">
        <v>626</v>
      </c>
      <c r="B9" s="506" t="s">
        <v>627</v>
      </c>
      <c r="C9" s="507" t="s">
        <v>628</v>
      </c>
    </row>
    <row r="10" spans="1:5">
      <c r="A10" s="500">
        <v>1</v>
      </c>
      <c r="B10" s="500" t="s">
        <v>662</v>
      </c>
      <c r="C10" s="500" t="s">
        <v>665</v>
      </c>
    </row>
    <row r="11" spans="1:5">
      <c r="A11" s="500">
        <v>2</v>
      </c>
      <c r="B11" s="500" t="s">
        <v>660</v>
      </c>
      <c r="C11" s="500" t="s">
        <v>666</v>
      </c>
    </row>
    <row r="12" spans="1:5">
      <c r="A12" s="500">
        <v>3</v>
      </c>
      <c r="B12" s="500" t="s">
        <v>158</v>
      </c>
      <c r="C12" s="500" t="s">
        <v>667</v>
      </c>
    </row>
    <row r="13" spans="1:5">
      <c r="A13" s="500">
        <v>4</v>
      </c>
      <c r="B13" s="500" t="s">
        <v>633</v>
      </c>
      <c r="C13" s="500" t="s">
        <v>658</v>
      </c>
    </row>
    <row r="14" spans="1:5">
      <c r="A14" s="500">
        <v>5</v>
      </c>
      <c r="B14" s="500" t="s">
        <v>634</v>
      </c>
      <c r="C14" s="500" t="s">
        <v>646</v>
      </c>
    </row>
    <row r="15" spans="1:5">
      <c r="A15" s="500">
        <v>6</v>
      </c>
      <c r="B15" s="500" t="s">
        <v>636</v>
      </c>
      <c r="C15" s="500" t="s">
        <v>659</v>
      </c>
    </row>
    <row r="16" spans="1:5">
      <c r="A16" s="500">
        <v>7</v>
      </c>
      <c r="B16" s="500" t="s">
        <v>650</v>
      </c>
      <c r="C16" s="500" t="s">
        <v>668</v>
      </c>
    </row>
    <row r="17" spans="1:3">
      <c r="A17" s="500">
        <v>8</v>
      </c>
      <c r="B17" s="500" t="s">
        <v>639</v>
      </c>
      <c r="C17" s="500" t="s">
        <v>672</v>
      </c>
    </row>
    <row r="18" spans="1:3">
      <c r="A18" s="500">
        <v>9</v>
      </c>
      <c r="B18" s="500" t="s">
        <v>635</v>
      </c>
      <c r="C18" s="500" t="s">
        <v>669</v>
      </c>
    </row>
    <row r="19" spans="1:3">
      <c r="A19" s="500">
        <v>10</v>
      </c>
      <c r="B19" s="500" t="s">
        <v>649</v>
      </c>
      <c r="C19" s="500" t="s">
        <v>657</v>
      </c>
    </row>
    <row r="20" spans="1:3">
      <c r="A20" s="500">
        <v>11</v>
      </c>
      <c r="B20" s="500" t="s">
        <v>655</v>
      </c>
      <c r="C20" s="500" t="s">
        <v>656</v>
      </c>
    </row>
    <row r="21" spans="1:3">
      <c r="A21" s="500">
        <v>12</v>
      </c>
      <c r="B21" s="500" t="s">
        <v>645</v>
      </c>
      <c r="C21" s="500" t="s">
        <v>647</v>
      </c>
    </row>
    <row r="22" spans="1:3">
      <c r="A22" s="500">
        <v>13</v>
      </c>
      <c r="B22" s="500" t="s">
        <v>629</v>
      </c>
      <c r="C22" s="500" t="s">
        <v>648</v>
      </c>
    </row>
    <row r="23" spans="1:3">
      <c r="A23" s="500">
        <v>14</v>
      </c>
      <c r="B23" s="500" t="s">
        <v>630</v>
      </c>
      <c r="C23" s="500" t="s">
        <v>670</v>
      </c>
    </row>
    <row r="24" spans="1:3" ht="25.2">
      <c r="A24" s="500">
        <v>15</v>
      </c>
      <c r="B24" s="508" t="s">
        <v>631</v>
      </c>
      <c r="C24" s="504" t="s">
        <v>632</v>
      </c>
    </row>
    <row r="25" spans="1:3">
      <c r="A25" s="500">
        <v>16</v>
      </c>
      <c r="B25" s="500" t="s">
        <v>637</v>
      </c>
      <c r="C25" s="500" t="s">
        <v>651</v>
      </c>
    </row>
    <row r="26" spans="1:3">
      <c r="A26" s="500">
        <v>17</v>
      </c>
      <c r="B26" s="500" t="s">
        <v>641</v>
      </c>
      <c r="C26" s="500" t="s">
        <v>663</v>
      </c>
    </row>
    <row r="27" spans="1:3">
      <c r="A27" s="500">
        <v>18</v>
      </c>
      <c r="B27" s="500" t="s">
        <v>664</v>
      </c>
      <c r="C27" s="500" t="s">
        <v>671</v>
      </c>
    </row>
    <row r="28" spans="1:3">
      <c r="A28" s="500">
        <v>19</v>
      </c>
      <c r="B28" s="500" t="s">
        <v>640</v>
      </c>
      <c r="C28" s="500" t="s">
        <v>653</v>
      </c>
    </row>
    <row r="29" spans="1:3" ht="25.2">
      <c r="A29" s="500">
        <v>20</v>
      </c>
      <c r="B29" s="500" t="s">
        <v>217</v>
      </c>
      <c r="C29" s="504" t="s">
        <v>632</v>
      </c>
    </row>
    <row r="30" spans="1:3">
      <c r="A30" s="500">
        <v>21</v>
      </c>
      <c r="B30" s="500" t="s">
        <v>644</v>
      </c>
      <c r="C30" s="500" t="s">
        <v>652</v>
      </c>
    </row>
    <row r="31" spans="1:3">
      <c r="A31" s="500">
        <v>22</v>
      </c>
      <c r="B31" s="500" t="s">
        <v>638</v>
      </c>
      <c r="C31" s="500" t="s">
        <v>675</v>
      </c>
    </row>
    <row r="32" spans="1:3">
      <c r="A32" s="500">
        <v>23</v>
      </c>
      <c r="B32" s="500" t="s">
        <v>673</v>
      </c>
      <c r="C32" s="500" t="s">
        <v>674</v>
      </c>
    </row>
    <row r="33" spans="1:3" ht="25.2">
      <c r="A33" s="500">
        <v>24</v>
      </c>
      <c r="B33" s="500" t="s">
        <v>642</v>
      </c>
      <c r="C33" s="504" t="s">
        <v>643</v>
      </c>
    </row>
    <row r="34" spans="1:3">
      <c r="A34" s="500"/>
      <c r="C34" s="500"/>
    </row>
    <row r="35" spans="1:3">
      <c r="A35" s="500"/>
      <c r="B35" s="500"/>
      <c r="C35" s="500"/>
    </row>
    <row r="36" spans="1:3">
      <c r="A36" s="500"/>
      <c r="B36" s="500"/>
      <c r="C36" s="500"/>
    </row>
    <row r="37" spans="1:3">
      <c r="A37" s="500"/>
      <c r="B37" s="500"/>
      <c r="C37" s="500"/>
    </row>
    <row r="38" spans="1:3">
      <c r="A38" s="500"/>
    </row>
    <row r="39" spans="1:3">
      <c r="A39" s="500"/>
    </row>
    <row r="40" spans="1:3">
      <c r="A40" s="500"/>
    </row>
    <row r="41" spans="1:3">
      <c r="A41" s="500"/>
    </row>
    <row r="42" spans="1:3">
      <c r="A42" s="500"/>
    </row>
    <row r="43" spans="1:3">
      <c r="A43" s="500"/>
    </row>
    <row r="44" spans="1:3">
      <c r="A44" s="500"/>
      <c r="B44" s="500"/>
      <c r="C44" s="500"/>
    </row>
    <row r="45" spans="1:3">
      <c r="A45" s="500"/>
      <c r="B45" s="500"/>
      <c r="C45" s="500"/>
    </row>
    <row r="46" spans="1:3">
      <c r="A46" s="500"/>
      <c r="B46" s="500"/>
      <c r="C46" s="500"/>
    </row>
    <row r="47" spans="1:3">
      <c r="A47" s="500"/>
    </row>
    <row r="48" spans="1:3">
      <c r="A48" s="500"/>
    </row>
  </sheetData>
  <mergeCells count="5">
    <mergeCell ref="A7:C7"/>
    <mergeCell ref="A3:C3"/>
    <mergeCell ref="A4:C4"/>
    <mergeCell ref="A5:C5"/>
    <mergeCell ref="A6:C6"/>
  </mergeCells>
  <pageMargins left="0.7" right="0.7" top="0.75" bottom="0.75" header="0.3" footer="0.3"/>
  <pageSetup scale="80" orientation="landscape" r:id="rId1"/>
  <headerFooter>
    <oddFooter>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0"/>
  <sheetViews>
    <sheetView view="pageBreakPreview" zoomScaleNormal="100" zoomScaleSheetLayoutView="100" workbookViewId="0">
      <selection activeCell="A2" sqref="A2:D6"/>
    </sheetView>
    <sheetView workbookViewId="1"/>
  </sheetViews>
  <sheetFormatPr defaultRowHeight="15"/>
  <cols>
    <col min="1" max="1" width="8.76953125" customWidth="1"/>
    <col min="2" max="2" width="30.2265625" customWidth="1"/>
    <col min="3" max="4" width="11.08984375" customWidth="1"/>
  </cols>
  <sheetData>
    <row r="1" spans="1:4" ht="39.75" customHeight="1"/>
    <row r="2" spans="1:4" ht="30" customHeight="1">
      <c r="A2" s="626" t="s">
        <v>197</v>
      </c>
      <c r="B2" s="626"/>
      <c r="C2" s="626"/>
      <c r="D2" s="626"/>
    </row>
    <row r="3" spans="1:4">
      <c r="A3" s="627" t="s">
        <v>198</v>
      </c>
      <c r="B3" s="627"/>
      <c r="C3" s="627"/>
      <c r="D3" s="627"/>
    </row>
    <row r="4" spans="1:4">
      <c r="A4" s="627" t="s">
        <v>199</v>
      </c>
      <c r="B4" s="627"/>
      <c r="C4" s="627"/>
      <c r="D4" s="627"/>
    </row>
    <row r="5" spans="1:4">
      <c r="A5" s="627" t="str">
        <f>CONCATENATE(RFE!C11, " Floor")</f>
        <v xml:space="preserve"> Floor</v>
      </c>
      <c r="B5" s="627"/>
      <c r="C5" s="627"/>
      <c r="D5" s="627"/>
    </row>
    <row r="6" spans="1:4" ht="15" customHeight="1">
      <c r="A6" s="627" t="str">
        <f>CONCATENATE("Proposal #",RFE!E14)</f>
        <v>Proposal #24-038C</v>
      </c>
      <c r="B6" s="627"/>
      <c r="C6" s="627"/>
      <c r="D6" s="627"/>
    </row>
    <row r="7" spans="1:4" ht="15.3" thickBot="1">
      <c r="A7" s="214"/>
      <c r="D7" s="214"/>
    </row>
    <row r="8" spans="1:4" ht="15.3" thickBot="1">
      <c r="A8" s="623" t="s">
        <v>83</v>
      </c>
      <c r="B8" s="624"/>
      <c r="C8" s="624"/>
      <c r="D8" s="625"/>
    </row>
    <row r="9" spans="1:4" ht="15.3" thickBot="1">
      <c r="A9" s="214"/>
      <c r="D9" s="214"/>
    </row>
    <row r="10" spans="1:4" ht="15.3" thickBot="1">
      <c r="A10" s="215" t="s">
        <v>175</v>
      </c>
      <c r="B10" s="216" t="s">
        <v>176</v>
      </c>
      <c r="C10" s="217" t="s">
        <v>177</v>
      </c>
      <c r="D10" s="218" t="s">
        <v>178</v>
      </c>
    </row>
    <row r="11" spans="1:4">
      <c r="A11" s="219"/>
      <c r="B11" s="220"/>
      <c r="C11" s="220"/>
      <c r="D11" s="219"/>
    </row>
    <row r="12" spans="1:4">
      <c r="A12" s="221"/>
      <c r="B12" s="222"/>
      <c r="C12" s="221"/>
      <c r="D12" s="221"/>
    </row>
    <row r="13" spans="1:4">
      <c r="A13" s="221"/>
      <c r="B13" s="222"/>
      <c r="C13" s="221"/>
      <c r="D13" s="221"/>
    </row>
    <row r="14" spans="1:4">
      <c r="A14" s="221"/>
      <c r="B14" s="222"/>
      <c r="C14" s="221"/>
      <c r="D14" s="221"/>
    </row>
    <row r="15" spans="1:4">
      <c r="A15" s="221"/>
      <c r="B15" s="222"/>
      <c r="C15" s="221"/>
      <c r="D15" s="221"/>
    </row>
    <row r="16" spans="1:4">
      <c r="A16" s="221"/>
      <c r="B16" s="222"/>
      <c r="C16" s="221"/>
      <c r="D16" s="221"/>
    </row>
    <row r="17" spans="1:4">
      <c r="A17" s="221"/>
      <c r="B17" s="222"/>
      <c r="C17" s="221"/>
      <c r="D17" s="221"/>
    </row>
    <row r="18" spans="1:4">
      <c r="A18" s="221"/>
      <c r="B18" s="222"/>
      <c r="C18" s="221"/>
      <c r="D18" s="221"/>
    </row>
    <row r="19" spans="1:4">
      <c r="A19" s="221"/>
      <c r="B19" s="222"/>
      <c r="C19" s="221"/>
      <c r="D19" s="221"/>
    </row>
    <row r="20" spans="1:4">
      <c r="A20" s="221"/>
      <c r="B20" s="222"/>
      <c r="C20" s="221"/>
      <c r="D20" s="221"/>
    </row>
    <row r="21" spans="1:4">
      <c r="A21" s="221"/>
      <c r="B21" s="222"/>
      <c r="C21" s="221"/>
      <c r="D21" s="221"/>
    </row>
    <row r="22" spans="1:4">
      <c r="A22" s="221"/>
      <c r="B22" s="222"/>
      <c r="C22" s="221"/>
      <c r="D22" s="221"/>
    </row>
    <row r="23" spans="1:4">
      <c r="A23" s="221"/>
      <c r="B23" s="222"/>
      <c r="C23" s="221"/>
      <c r="D23" s="221"/>
    </row>
    <row r="24" spans="1:4">
      <c r="A24" s="221"/>
      <c r="B24" s="222"/>
      <c r="C24" s="221"/>
      <c r="D24" s="221"/>
    </row>
    <row r="25" spans="1:4">
      <c r="A25" s="221"/>
      <c r="B25" s="222"/>
      <c r="C25" s="221"/>
      <c r="D25" s="221"/>
    </row>
    <row r="26" spans="1:4">
      <c r="A26" s="221"/>
      <c r="B26" s="222"/>
      <c r="C26" s="221"/>
      <c r="D26" s="221"/>
    </row>
    <row r="27" spans="1:4">
      <c r="A27" s="221"/>
      <c r="B27" s="222"/>
      <c r="C27" s="221"/>
      <c r="D27" s="221"/>
    </row>
    <row r="28" spans="1:4">
      <c r="A28" s="221"/>
      <c r="B28" s="222"/>
      <c r="C28" s="221"/>
      <c r="D28" s="221"/>
    </row>
    <row r="29" spans="1:4">
      <c r="A29" s="221"/>
      <c r="B29" s="222"/>
      <c r="C29" s="221"/>
      <c r="D29" s="221"/>
    </row>
    <row r="30" spans="1:4">
      <c r="A30" s="221"/>
      <c r="B30" s="222"/>
      <c r="C30" s="221"/>
      <c r="D30" s="221"/>
    </row>
    <row r="31" spans="1:4">
      <c r="A31" s="221"/>
      <c r="B31" s="222"/>
      <c r="C31" s="221"/>
      <c r="D31" s="221"/>
    </row>
    <row r="32" spans="1:4">
      <c r="A32" s="221"/>
      <c r="B32" s="222"/>
      <c r="C32" s="221"/>
      <c r="D32" s="221"/>
    </row>
    <row r="33" spans="1:4">
      <c r="A33" s="221"/>
      <c r="B33" s="222"/>
      <c r="C33" s="221"/>
      <c r="D33" s="221"/>
    </row>
    <row r="34" spans="1:4">
      <c r="A34" s="221"/>
      <c r="B34" s="222"/>
      <c r="C34" s="221"/>
      <c r="D34" s="221"/>
    </row>
    <row r="35" spans="1:4">
      <c r="A35" s="221"/>
      <c r="B35" s="222"/>
      <c r="C35" s="221"/>
      <c r="D35" s="221"/>
    </row>
    <row r="36" spans="1:4">
      <c r="A36" s="221"/>
      <c r="B36" s="222"/>
      <c r="C36" s="221"/>
      <c r="D36" s="221"/>
    </row>
    <row r="37" spans="1:4">
      <c r="A37" s="221"/>
      <c r="B37" s="222"/>
      <c r="C37" s="221"/>
      <c r="D37" s="221"/>
    </row>
    <row r="38" spans="1:4">
      <c r="A38" s="221"/>
      <c r="B38" s="222"/>
      <c r="C38" s="221"/>
      <c r="D38" s="221"/>
    </row>
    <row r="39" spans="1:4">
      <c r="A39" s="221"/>
      <c r="B39" s="222"/>
      <c r="C39" s="221"/>
      <c r="D39" s="221"/>
    </row>
    <row r="40" spans="1:4">
      <c r="A40" s="221"/>
      <c r="B40" s="222"/>
      <c r="C40" s="221"/>
      <c r="D40" s="221"/>
    </row>
    <row r="41" spans="1:4">
      <c r="A41" s="221"/>
      <c r="B41" s="222"/>
      <c r="C41" s="221"/>
      <c r="D41" s="221"/>
    </row>
    <row r="42" spans="1:4">
      <c r="A42" s="221"/>
      <c r="B42" s="222"/>
      <c r="C42" s="221"/>
      <c r="D42" s="221"/>
    </row>
    <row r="43" spans="1:4">
      <c r="A43" s="221"/>
      <c r="B43" s="222"/>
      <c r="C43" s="221"/>
      <c r="D43" s="221"/>
    </row>
    <row r="44" spans="1:4">
      <c r="A44" s="221"/>
      <c r="B44" s="222"/>
      <c r="C44" s="221"/>
      <c r="D44" s="221"/>
    </row>
    <row r="45" spans="1:4">
      <c r="A45" s="221"/>
      <c r="B45" s="222"/>
      <c r="C45" s="221"/>
      <c r="D45" s="221"/>
    </row>
    <row r="46" spans="1:4">
      <c r="A46" s="221"/>
      <c r="B46" s="222"/>
      <c r="C46" s="221"/>
      <c r="D46" s="221"/>
    </row>
    <row r="47" spans="1:4">
      <c r="A47" s="221"/>
      <c r="B47" s="222"/>
      <c r="C47" s="221"/>
      <c r="D47" s="221"/>
    </row>
    <row r="48" spans="1:4">
      <c r="A48" s="221"/>
      <c r="B48" s="222"/>
      <c r="C48" s="221"/>
      <c r="D48" s="221"/>
    </row>
    <row r="49" spans="1:4">
      <c r="A49" s="221"/>
      <c r="B49" s="222"/>
      <c r="C49" s="221"/>
      <c r="D49" s="221"/>
    </row>
    <row r="50" spans="1:4">
      <c r="A50" s="221"/>
      <c r="B50" s="222"/>
      <c r="C50" s="221"/>
      <c r="D50" s="221"/>
    </row>
    <row r="51" spans="1:4">
      <c r="A51" s="221"/>
      <c r="B51" s="222"/>
      <c r="C51" s="221"/>
      <c r="D51" s="221"/>
    </row>
    <row r="52" spans="1:4">
      <c r="A52" s="221"/>
      <c r="B52" s="222"/>
      <c r="C52" s="221"/>
      <c r="D52" s="221"/>
    </row>
    <row r="53" spans="1:4">
      <c r="A53" s="221"/>
      <c r="B53" s="222"/>
      <c r="C53" s="221"/>
      <c r="D53" s="221"/>
    </row>
    <row r="54" spans="1:4">
      <c r="A54" s="221"/>
      <c r="B54" s="222"/>
      <c r="C54" s="221"/>
      <c r="D54" s="221"/>
    </row>
    <row r="55" spans="1:4">
      <c r="A55" s="221"/>
      <c r="B55" s="222"/>
      <c r="C55" s="221"/>
      <c r="D55" s="221"/>
    </row>
    <row r="56" spans="1:4">
      <c r="A56" s="221"/>
      <c r="B56" s="222"/>
      <c r="C56" s="221"/>
      <c r="D56" s="221"/>
    </row>
    <row r="57" spans="1:4">
      <c r="A57" s="221"/>
      <c r="B57" s="222"/>
      <c r="C57" s="221"/>
      <c r="D57" s="221"/>
    </row>
    <row r="58" spans="1:4">
      <c r="A58" s="221"/>
      <c r="B58" s="222"/>
      <c r="C58" s="221"/>
      <c r="D58" s="221"/>
    </row>
    <row r="59" spans="1:4">
      <c r="A59" s="221"/>
      <c r="B59" s="222"/>
      <c r="C59" s="221"/>
      <c r="D59" s="221"/>
    </row>
    <row r="60" spans="1:4">
      <c r="A60" s="221"/>
      <c r="B60" s="222"/>
      <c r="C60" s="221"/>
      <c r="D60" s="221"/>
    </row>
    <row r="61" spans="1:4">
      <c r="A61" s="221"/>
      <c r="B61" s="222"/>
      <c r="C61" s="221"/>
      <c r="D61" s="221"/>
    </row>
    <row r="62" spans="1:4">
      <c r="A62" s="221"/>
      <c r="B62" s="222"/>
      <c r="C62" s="221"/>
      <c r="D62" s="221"/>
    </row>
    <row r="63" spans="1:4">
      <c r="A63" s="221"/>
      <c r="B63" s="222"/>
      <c r="C63" s="221"/>
      <c r="D63" s="221"/>
    </row>
    <row r="64" spans="1:4">
      <c r="A64" s="221"/>
      <c r="B64" s="222"/>
      <c r="C64" s="221"/>
      <c r="D64" s="221"/>
    </row>
    <row r="65" spans="1:4">
      <c r="A65" s="221"/>
      <c r="B65" s="222"/>
      <c r="C65" s="221"/>
      <c r="D65" s="221"/>
    </row>
    <row r="66" spans="1:4">
      <c r="A66" s="221"/>
      <c r="B66" s="222"/>
      <c r="C66" s="221"/>
      <c r="D66" s="221"/>
    </row>
    <row r="67" spans="1:4">
      <c r="A67" s="221"/>
      <c r="B67" s="222"/>
      <c r="C67" s="221"/>
      <c r="D67" s="221"/>
    </row>
    <row r="68" spans="1:4">
      <c r="A68" s="221"/>
      <c r="B68" s="222"/>
      <c r="C68" s="221"/>
      <c r="D68" s="221"/>
    </row>
    <row r="69" spans="1:4">
      <c r="A69" s="221"/>
      <c r="B69" s="222"/>
      <c r="C69" s="221"/>
      <c r="D69" s="221"/>
    </row>
    <row r="70" spans="1:4">
      <c r="A70" s="221"/>
      <c r="B70" s="222"/>
      <c r="C70" s="221"/>
      <c r="D70" s="221"/>
    </row>
    <row r="71" spans="1:4">
      <c r="A71" s="221"/>
      <c r="B71" s="222"/>
      <c r="C71" s="221"/>
      <c r="D71" s="221"/>
    </row>
    <row r="72" spans="1:4">
      <c r="A72" s="221"/>
      <c r="B72" s="222"/>
      <c r="C72" s="221"/>
      <c r="D72" s="221"/>
    </row>
    <row r="73" spans="1:4">
      <c r="A73" s="221"/>
      <c r="B73" s="222"/>
      <c r="C73" s="221"/>
      <c r="D73" s="221"/>
    </row>
    <row r="74" spans="1:4">
      <c r="A74" s="221"/>
      <c r="B74" s="222"/>
      <c r="C74" s="221"/>
      <c r="D74" s="221"/>
    </row>
    <row r="75" spans="1:4">
      <c r="A75" s="221"/>
      <c r="B75" s="222"/>
      <c r="C75" s="221"/>
      <c r="D75" s="221"/>
    </row>
    <row r="76" spans="1:4">
      <c r="A76" s="221"/>
      <c r="B76" s="222"/>
      <c r="C76" s="221"/>
      <c r="D76" s="221"/>
    </row>
    <row r="77" spans="1:4">
      <c r="A77" s="221"/>
      <c r="B77" s="222"/>
      <c r="C77" s="221"/>
      <c r="D77" s="221"/>
    </row>
    <row r="78" spans="1:4">
      <c r="A78" s="221"/>
      <c r="B78" s="222"/>
      <c r="C78" s="221"/>
      <c r="D78" s="221"/>
    </row>
    <row r="79" spans="1:4">
      <c r="A79" s="221"/>
      <c r="B79" s="222"/>
      <c r="C79" s="221"/>
      <c r="D79" s="221"/>
    </row>
    <row r="80" spans="1:4">
      <c r="A80" s="221"/>
      <c r="B80" s="222"/>
      <c r="C80" s="221"/>
      <c r="D80" s="221"/>
    </row>
  </sheetData>
  <mergeCells count="6">
    <mergeCell ref="A8:D8"/>
    <mergeCell ref="A2:D2"/>
    <mergeCell ref="A3:D3"/>
    <mergeCell ref="A4:D4"/>
    <mergeCell ref="A5:D5"/>
    <mergeCell ref="A6:D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E53"/>
  <sheetViews>
    <sheetView topLeftCell="A35" workbookViewId="0">
      <selection activeCell="A3" sqref="A3:B3"/>
    </sheetView>
    <sheetView workbookViewId="1">
      <selection sqref="A1:XFD7"/>
    </sheetView>
  </sheetViews>
  <sheetFormatPr defaultColWidth="8.76953125" defaultRowHeight="12.3"/>
  <cols>
    <col min="1" max="1" width="2.76953125" style="151" customWidth="1"/>
    <col min="2" max="2" width="66.2265625" style="49" customWidth="1"/>
    <col min="3" max="3" width="10.453125" style="49" customWidth="1"/>
    <col min="4" max="16384" width="8.76953125" style="49"/>
  </cols>
  <sheetData>
    <row r="1" spans="1:5" ht="35.25" customHeight="1">
      <c r="A1" s="150"/>
    </row>
    <row r="2" spans="1:5" ht="28.5" customHeight="1"/>
    <row r="3" spans="1:5" ht="28.5" customHeight="1">
      <c r="A3" s="626" t="str">
        <f>Estimate!C2</f>
        <v>Town House Renovation</v>
      </c>
      <c r="B3" s="626"/>
      <c r="C3" s="4"/>
      <c r="D3" s="6"/>
      <c r="E3" s="5"/>
    </row>
    <row r="4" spans="1:5" ht="15">
      <c r="A4" s="627" t="str">
        <f>Estimate!C3</f>
        <v>60 Bank Street</v>
      </c>
      <c r="B4" s="627"/>
      <c r="C4" s="4"/>
      <c r="D4" s="6"/>
      <c r="E4" s="8"/>
    </row>
    <row r="5" spans="1:5" ht="15">
      <c r="A5" s="627" t="str">
        <f>Estimate!C4</f>
        <v>New York, NY 10014</v>
      </c>
      <c r="B5" s="627"/>
      <c r="C5" s="4"/>
      <c r="D5" s="6"/>
      <c r="E5" s="8"/>
    </row>
    <row r="6" spans="1:5" ht="15">
      <c r="A6" s="627" t="str">
        <f>CONCATENATE(RFE!C11, " Floor")</f>
        <v xml:space="preserve"> Floor</v>
      </c>
      <c r="B6" s="627"/>
      <c r="C6" s="4"/>
      <c r="D6" s="6"/>
      <c r="E6" s="7"/>
    </row>
    <row r="7" spans="1:5" ht="15">
      <c r="A7" s="627" t="str">
        <f>CONCATENATE("Proposal #",RFE!E14)</f>
        <v>Proposal #24-038C</v>
      </c>
      <c r="B7" s="627"/>
    </row>
    <row r="8" spans="1:5" ht="12.75" customHeight="1">
      <c r="B8" s="142"/>
    </row>
    <row r="9" spans="1:5">
      <c r="B9" s="140"/>
    </row>
    <row r="10" spans="1:5">
      <c r="B10" s="50" t="s">
        <v>75</v>
      </c>
    </row>
    <row r="11" spans="1:5" ht="12" customHeight="1">
      <c r="A11" s="151">
        <v>1</v>
      </c>
      <c r="B11" s="49" t="s">
        <v>151</v>
      </c>
    </row>
    <row r="12" spans="1:5">
      <c r="A12" s="151">
        <v>2</v>
      </c>
      <c r="B12" s="51" t="s">
        <v>152</v>
      </c>
    </row>
    <row r="13" spans="1:5" ht="24.6">
      <c r="A13" s="151">
        <v>3</v>
      </c>
      <c r="B13" s="51" t="s">
        <v>94</v>
      </c>
    </row>
    <row r="14" spans="1:5">
      <c r="A14" s="151">
        <v>4</v>
      </c>
      <c r="B14" s="51" t="s">
        <v>95</v>
      </c>
    </row>
    <row r="15" spans="1:5" ht="24.6">
      <c r="A15" s="151">
        <v>5</v>
      </c>
      <c r="B15" s="49" t="s">
        <v>168</v>
      </c>
    </row>
    <row r="16" spans="1:5">
      <c r="A16" s="151">
        <v>6</v>
      </c>
      <c r="B16" s="49" t="s">
        <v>92</v>
      </c>
    </row>
    <row r="17" spans="1:2">
      <c r="A17" s="151">
        <v>7</v>
      </c>
      <c r="B17" s="49" t="s">
        <v>153</v>
      </c>
    </row>
    <row r="18" spans="1:2">
      <c r="A18" s="151">
        <v>8</v>
      </c>
      <c r="B18" s="49" t="s">
        <v>91</v>
      </c>
    </row>
    <row r="19" spans="1:2">
      <c r="A19" s="151">
        <v>9</v>
      </c>
      <c r="B19" s="49" t="s">
        <v>149</v>
      </c>
    </row>
    <row r="20" spans="1:2">
      <c r="A20" s="151">
        <v>10</v>
      </c>
      <c r="B20" s="49" t="s">
        <v>93</v>
      </c>
    </row>
    <row r="21" spans="1:2">
      <c r="A21" s="151">
        <v>11</v>
      </c>
      <c r="B21" s="49" t="s">
        <v>96</v>
      </c>
    </row>
    <row r="22" spans="1:2">
      <c r="A22" s="151">
        <v>12</v>
      </c>
      <c r="B22" s="49" t="s">
        <v>97</v>
      </c>
    </row>
    <row r="23" spans="1:2">
      <c r="A23" s="151">
        <v>13</v>
      </c>
      <c r="B23" s="49" t="s">
        <v>76</v>
      </c>
    </row>
    <row r="24" spans="1:2">
      <c r="A24" s="151">
        <v>14</v>
      </c>
      <c r="B24" s="49" t="s">
        <v>98</v>
      </c>
    </row>
    <row r="25" spans="1:2">
      <c r="A25" s="151">
        <v>15</v>
      </c>
      <c r="B25" s="140" t="s">
        <v>582</v>
      </c>
    </row>
    <row r="26" spans="1:2">
      <c r="A26" s="151">
        <v>16</v>
      </c>
      <c r="B26" s="49" t="s">
        <v>90</v>
      </c>
    </row>
    <row r="27" spans="1:2">
      <c r="A27" s="151">
        <v>17</v>
      </c>
      <c r="B27" s="49" t="s">
        <v>583</v>
      </c>
    </row>
    <row r="28" spans="1:2" ht="24.6">
      <c r="A28" s="151">
        <v>18</v>
      </c>
      <c r="B28" s="51" t="s">
        <v>167</v>
      </c>
    </row>
    <row r="29" spans="1:2" ht="25.5" customHeight="1">
      <c r="A29" s="151">
        <v>19</v>
      </c>
      <c r="B29" s="51" t="s">
        <v>7</v>
      </c>
    </row>
    <row r="30" spans="1:2" ht="24.6">
      <c r="A30" s="151">
        <v>20</v>
      </c>
      <c r="B30" s="51" t="s">
        <v>123</v>
      </c>
    </row>
    <row r="31" spans="1:2">
      <c r="B31" s="140"/>
    </row>
    <row r="32" spans="1:2" s="50" customFormat="1">
      <c r="A32" s="152"/>
      <c r="B32" s="50" t="s">
        <v>169</v>
      </c>
    </row>
    <row r="33" spans="1:2">
      <c r="A33" s="151">
        <v>1</v>
      </c>
      <c r="B33" s="51" t="s">
        <v>544</v>
      </c>
    </row>
    <row r="34" spans="1:2">
      <c r="A34" s="151">
        <v>2</v>
      </c>
      <c r="B34" s="51" t="s">
        <v>584</v>
      </c>
    </row>
    <row r="35" spans="1:2">
      <c r="A35" s="151">
        <v>3</v>
      </c>
      <c r="B35" s="51" t="s">
        <v>536</v>
      </c>
    </row>
    <row r="36" spans="1:2" ht="36.9">
      <c r="A36" s="151">
        <v>4</v>
      </c>
      <c r="B36" s="51" t="s">
        <v>591</v>
      </c>
    </row>
    <row r="37" spans="1:2">
      <c r="A37" s="151">
        <v>5</v>
      </c>
      <c r="B37" s="51" t="s">
        <v>585</v>
      </c>
    </row>
    <row r="38" spans="1:2">
      <c r="A38" s="151">
        <v>6</v>
      </c>
      <c r="B38" s="49" t="s">
        <v>581</v>
      </c>
    </row>
    <row r="39" spans="1:2" ht="24.6">
      <c r="A39" s="151">
        <v>7</v>
      </c>
      <c r="B39" s="51" t="s">
        <v>586</v>
      </c>
    </row>
    <row r="40" spans="1:2">
      <c r="A40" s="151">
        <v>8</v>
      </c>
    </row>
    <row r="41" spans="1:2">
      <c r="A41" s="151">
        <v>9</v>
      </c>
      <c r="B41" s="51"/>
    </row>
    <row r="42" spans="1:2">
      <c r="A42" s="151">
        <v>10</v>
      </c>
      <c r="B42" s="51"/>
    </row>
    <row r="43" spans="1:2">
      <c r="A43" s="151">
        <v>11</v>
      </c>
      <c r="B43" s="51"/>
    </row>
    <row r="44" spans="1:2">
      <c r="A44" s="150">
        <v>12</v>
      </c>
      <c r="B44" s="140"/>
    </row>
    <row r="45" spans="1:2">
      <c r="A45" s="150"/>
      <c r="B45" s="141"/>
    </row>
    <row r="46" spans="1:2">
      <c r="A46" s="150"/>
      <c r="B46" s="50"/>
    </row>
    <row r="47" spans="1:2" ht="21" customHeight="1">
      <c r="B47" s="143">
        <f>+RFE!B46</f>
        <v>0</v>
      </c>
    </row>
    <row r="48" spans="1:2" ht="12.75" customHeight="1"/>
    <row r="49" ht="12.75" customHeight="1"/>
    <row r="50" ht="12.75" customHeight="1"/>
    <row r="51" ht="12.75" customHeight="1"/>
    <row r="52" ht="12.75" customHeight="1"/>
    <row r="53" ht="12.75" customHeight="1"/>
  </sheetData>
  <mergeCells count="5">
    <mergeCell ref="A3:B3"/>
    <mergeCell ref="A4:B4"/>
    <mergeCell ref="A5:B5"/>
    <mergeCell ref="A6:B6"/>
    <mergeCell ref="A7:B7"/>
  </mergeCells>
  <phoneticPr fontId="0" type="noConversion"/>
  <printOptions horizontalCentered="1"/>
  <pageMargins left="0.75" right="0.75" top="1.25" bottom="1" header="0.5" footer="0.5"/>
  <pageSetup scale="9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2">
    <pageSetUpPr fitToPage="1"/>
  </sheetPr>
  <dimension ref="A1:I864"/>
  <sheetViews>
    <sheetView tabSelected="1" view="pageBreakPreview" topLeftCell="A6" zoomScaleNormal="75" zoomScaleSheetLayoutView="100" workbookViewId="0">
      <selection activeCell="F19" sqref="F19"/>
    </sheetView>
    <sheetView view="pageBreakPreview" zoomScaleNormal="81" zoomScaleSheetLayoutView="100" workbookViewId="1">
      <selection activeCell="H4" sqref="H4"/>
    </sheetView>
  </sheetViews>
  <sheetFormatPr defaultColWidth="9.76953125" defaultRowHeight="15"/>
  <cols>
    <col min="1" max="1" width="9.08984375" customWidth="1"/>
    <col min="2" max="2" width="8.2265625" customWidth="1"/>
    <col min="3" max="3" width="66.453125" customWidth="1"/>
    <col min="4" max="4" width="6.76953125" customWidth="1"/>
    <col min="5" max="5" width="7.08984375" customWidth="1"/>
    <col min="6" max="6" width="8.31640625" style="299" hidden="1" customWidth="1"/>
    <col min="7" max="7" width="12.36328125" style="299" hidden="1" customWidth="1"/>
    <col min="8" max="8" width="20.453125" style="471" customWidth="1"/>
  </cols>
  <sheetData>
    <row r="1" spans="1:8" ht="86.25" customHeight="1"/>
    <row r="2" spans="1:8" ht="47.25" customHeight="1">
      <c r="A2" s="1"/>
      <c r="B2" s="2"/>
      <c r="C2" s="21" t="str">
        <f>RFE!C8</f>
        <v>Town House Renovation</v>
      </c>
      <c r="D2" s="4"/>
      <c r="E2" s="6"/>
      <c r="F2" s="300"/>
      <c r="G2" s="300" t="s">
        <v>70</v>
      </c>
      <c r="H2" s="472" t="str">
        <f>RFE!$E$14</f>
        <v>24-038C</v>
      </c>
    </row>
    <row r="3" spans="1:8">
      <c r="A3" s="5"/>
      <c r="B3" s="4"/>
      <c r="C3" s="7" t="str">
        <f>RFE!C9</f>
        <v>60 Bank Street</v>
      </c>
      <c r="D3" s="4"/>
      <c r="E3" s="300" t="s">
        <v>613</v>
      </c>
      <c r="F3" s="355">
        <v>45897</v>
      </c>
      <c r="G3" s="300" t="s">
        <v>319</v>
      </c>
      <c r="H3" s="473">
        <v>45965</v>
      </c>
    </row>
    <row r="4" spans="1:8">
      <c r="A4" s="5"/>
      <c r="B4" s="4"/>
      <c r="C4" s="7" t="str">
        <f>RFE!C10</f>
        <v>New York, NY 10014</v>
      </c>
      <c r="D4" s="4"/>
      <c r="E4" s="6"/>
      <c r="F4" s="300"/>
      <c r="G4" s="300"/>
      <c r="H4" s="472"/>
    </row>
    <row r="5" spans="1:8" ht="15.3" thickBot="1">
      <c r="A5" s="5"/>
      <c r="B5" s="4"/>
      <c r="C5" s="7"/>
      <c r="D5" s="4"/>
      <c r="E5" s="5"/>
      <c r="F5" s="300"/>
      <c r="G5" s="301"/>
      <c r="H5" s="474"/>
    </row>
    <row r="6" spans="1:8" ht="16.899999999999999" customHeight="1">
      <c r="A6" s="447" t="s">
        <v>120</v>
      </c>
      <c r="B6" s="448"/>
      <c r="C6" s="449"/>
      <c r="D6" s="450" t="s">
        <v>71</v>
      </c>
      <c r="E6" s="451"/>
      <c r="F6" s="452"/>
      <c r="G6" s="453"/>
      <c r="H6" s="475"/>
    </row>
    <row r="7" spans="1:8" ht="18" thickBot="1">
      <c r="A7" s="454" t="s">
        <v>60</v>
      </c>
      <c r="B7" s="324" t="s">
        <v>53</v>
      </c>
      <c r="C7" s="325" t="s">
        <v>52</v>
      </c>
      <c r="D7" s="326" t="s">
        <v>49</v>
      </c>
      <c r="E7" s="327" t="s">
        <v>50</v>
      </c>
      <c r="F7" s="328" t="s">
        <v>51</v>
      </c>
      <c r="G7" s="329" t="s">
        <v>48</v>
      </c>
      <c r="H7" s="476" t="s">
        <v>68</v>
      </c>
    </row>
    <row r="8" spans="1:8" ht="11.65" customHeight="1">
      <c r="A8" s="455"/>
      <c r="B8" s="163"/>
      <c r="C8" s="15"/>
      <c r="D8" s="16"/>
      <c r="E8" s="17"/>
      <c r="F8" s="302"/>
      <c r="G8" s="303"/>
      <c r="H8" s="477"/>
    </row>
    <row r="9" spans="1:8" ht="21" customHeight="1" thickBot="1">
      <c r="A9" s="456" t="s">
        <v>218</v>
      </c>
      <c r="B9" s="169" t="s">
        <v>219</v>
      </c>
      <c r="C9" s="305"/>
      <c r="D9" s="509"/>
      <c r="E9" s="510"/>
      <c r="F9" s="511"/>
      <c r="G9" s="512" t="s">
        <v>71</v>
      </c>
      <c r="H9" s="513"/>
    </row>
    <row r="10" spans="1:8" ht="15" customHeight="1" thickTop="1" thickBot="1">
      <c r="A10" s="455"/>
      <c r="B10" s="79"/>
      <c r="C10" s="307" t="s">
        <v>340</v>
      </c>
      <c r="D10" s="518">
        <v>60</v>
      </c>
      <c r="E10" s="519" t="s">
        <v>316</v>
      </c>
      <c r="F10" s="520">
        <v>3300</v>
      </c>
      <c r="G10" s="520">
        <f t="shared" ref="G10:G13" si="0">ROUND(SUM(D10)*F10,0)</f>
        <v>198000</v>
      </c>
      <c r="H10" s="521"/>
    </row>
    <row r="11" spans="1:8" ht="15" customHeight="1" thickTop="1" thickBot="1">
      <c r="A11" s="455"/>
      <c r="B11" s="79"/>
      <c r="C11" s="307" t="s">
        <v>339</v>
      </c>
      <c r="D11" s="518">
        <v>40</v>
      </c>
      <c r="E11" s="519" t="s">
        <v>316</v>
      </c>
      <c r="F11" s="520">
        <v>1950</v>
      </c>
      <c r="G11" s="520">
        <f t="shared" si="0"/>
        <v>78000</v>
      </c>
      <c r="H11" s="521"/>
    </row>
    <row r="12" spans="1:8" ht="15" customHeight="1" thickTop="1" thickBot="1">
      <c r="A12" s="455"/>
      <c r="B12" s="79"/>
      <c r="C12" s="307" t="s">
        <v>338</v>
      </c>
      <c r="D12" s="518">
        <v>40</v>
      </c>
      <c r="E12" s="519" t="s">
        <v>316</v>
      </c>
      <c r="F12" s="520">
        <v>1000</v>
      </c>
      <c r="G12" s="520">
        <f t="shared" si="0"/>
        <v>40000</v>
      </c>
      <c r="H12" s="521"/>
    </row>
    <row r="13" spans="1:8" ht="15" customHeight="1" thickTop="1" thickBot="1">
      <c r="A13" s="455"/>
      <c r="B13" s="79"/>
      <c r="C13" s="307" t="s">
        <v>622</v>
      </c>
      <c r="D13" s="518">
        <v>40</v>
      </c>
      <c r="E13" s="519" t="s">
        <v>316</v>
      </c>
      <c r="F13" s="520">
        <v>1220</v>
      </c>
      <c r="G13" s="520">
        <f t="shared" si="0"/>
        <v>48800</v>
      </c>
      <c r="H13" s="521"/>
    </row>
    <row r="14" spans="1:8" ht="15" customHeight="1" thickTop="1" thickBot="1">
      <c r="A14" s="459"/>
      <c r="B14" s="164"/>
      <c r="C14" s="319" t="s">
        <v>256</v>
      </c>
      <c r="D14" s="522">
        <v>1</v>
      </c>
      <c r="E14" s="523" t="s">
        <v>42</v>
      </c>
      <c r="F14" s="524"/>
      <c r="G14" s="524"/>
      <c r="H14" s="517"/>
    </row>
    <row r="15" spans="1:8" ht="20.25" customHeight="1" thickBot="1">
      <c r="A15" s="455"/>
      <c r="B15" s="33"/>
      <c r="C15" s="308"/>
      <c r="D15" s="525"/>
      <c r="E15" s="526"/>
      <c r="F15" s="527"/>
      <c r="G15" s="528"/>
      <c r="H15" s="529">
        <f>SUM(G9:G15)</f>
        <v>364800</v>
      </c>
    </row>
    <row r="16" spans="1:8" ht="9" customHeight="1">
      <c r="A16" s="457"/>
      <c r="B16" s="163"/>
      <c r="C16" s="305"/>
      <c r="D16" s="509"/>
      <c r="E16" s="530"/>
      <c r="F16" s="511"/>
      <c r="G16" s="512"/>
      <c r="H16" s="513"/>
    </row>
    <row r="17" spans="1:8" ht="19.5" customHeight="1" thickBot="1">
      <c r="A17" s="458">
        <v>1100</v>
      </c>
      <c r="B17" s="163" t="s">
        <v>279</v>
      </c>
      <c r="C17" s="305"/>
      <c r="D17" s="509"/>
      <c r="E17" s="530"/>
      <c r="F17" s="511"/>
      <c r="G17" s="512"/>
      <c r="H17" s="513"/>
    </row>
    <row r="18" spans="1:8" ht="28.5" customHeight="1" thickTop="1" thickBot="1">
      <c r="A18" s="455"/>
      <c r="B18" s="79"/>
      <c r="C18" s="643" t="s">
        <v>679</v>
      </c>
      <c r="D18" s="518">
        <v>1</v>
      </c>
      <c r="E18" s="519" t="s">
        <v>239</v>
      </c>
      <c r="F18" s="520">
        <v>20000</v>
      </c>
      <c r="G18" s="520">
        <f t="shared" ref="G18:G24" si="1">ROUND(SUM(D18)*F18,0)</f>
        <v>20000</v>
      </c>
      <c r="H18" s="521"/>
    </row>
    <row r="19" spans="1:8" ht="21" customHeight="1" thickTop="1" thickBot="1">
      <c r="A19" s="455"/>
      <c r="B19" s="79"/>
      <c r="C19" s="307" t="s">
        <v>241</v>
      </c>
      <c r="D19" s="518">
        <v>5</v>
      </c>
      <c r="E19" s="519" t="s">
        <v>240</v>
      </c>
      <c r="F19" s="520">
        <v>3000</v>
      </c>
      <c r="G19" s="520">
        <f t="shared" si="1"/>
        <v>15000</v>
      </c>
      <c r="H19" s="521"/>
    </row>
    <row r="20" spans="1:8" ht="15" customHeight="1" thickTop="1" thickBot="1">
      <c r="A20" s="455"/>
      <c r="B20" s="79"/>
      <c r="C20" s="307" t="s">
        <v>249</v>
      </c>
      <c r="D20" s="518">
        <v>1</v>
      </c>
      <c r="E20" s="519" t="s">
        <v>42</v>
      </c>
      <c r="F20" s="520"/>
      <c r="G20" s="520"/>
      <c r="H20" s="521"/>
    </row>
    <row r="21" spans="1:8" ht="19.899999999999999" customHeight="1" thickTop="1" thickBot="1">
      <c r="A21" s="455"/>
      <c r="B21" s="79"/>
      <c r="C21" s="307" t="s">
        <v>250</v>
      </c>
      <c r="D21" s="518">
        <v>1</v>
      </c>
      <c r="E21" s="519" t="s">
        <v>42</v>
      </c>
      <c r="F21" s="520">
        <v>20000</v>
      </c>
      <c r="G21" s="520">
        <f t="shared" si="1"/>
        <v>20000</v>
      </c>
      <c r="H21" s="521"/>
    </row>
    <row r="22" spans="1:8" ht="28.5" customHeight="1" thickTop="1" thickBot="1">
      <c r="A22" s="455"/>
      <c r="B22" s="79"/>
      <c r="C22" s="307" t="s">
        <v>251</v>
      </c>
      <c r="D22" s="518">
        <v>1</v>
      </c>
      <c r="E22" s="519" t="s">
        <v>42</v>
      </c>
      <c r="F22" s="520">
        <v>12000</v>
      </c>
      <c r="G22" s="520">
        <f t="shared" si="1"/>
        <v>12000</v>
      </c>
      <c r="H22" s="521"/>
    </row>
    <row r="23" spans="1:8" ht="15" customHeight="1" thickTop="1" thickBot="1">
      <c r="A23" s="455"/>
      <c r="B23" s="166"/>
      <c r="C23" s="306" t="s">
        <v>248</v>
      </c>
      <c r="D23" s="514">
        <v>1</v>
      </c>
      <c r="E23" s="515" t="s">
        <v>42</v>
      </c>
      <c r="F23" s="516">
        <v>25000</v>
      </c>
      <c r="G23" s="516">
        <f t="shared" si="1"/>
        <v>25000</v>
      </c>
      <c r="H23" s="517"/>
    </row>
    <row r="24" spans="1:8" ht="28.5" customHeight="1" thickTop="1" thickBot="1">
      <c r="A24" s="455"/>
      <c r="B24" s="79"/>
      <c r="C24" s="307" t="s">
        <v>242</v>
      </c>
      <c r="D24" s="518">
        <v>1</v>
      </c>
      <c r="E24" s="519" t="s">
        <v>42</v>
      </c>
      <c r="F24" s="520">
        <v>30000</v>
      </c>
      <c r="G24" s="520">
        <f t="shared" si="1"/>
        <v>30000</v>
      </c>
      <c r="H24" s="521"/>
    </row>
    <row r="25" spans="1:8" ht="19.5" customHeight="1" thickTop="1" thickBot="1">
      <c r="A25" s="455"/>
      <c r="B25" s="168"/>
      <c r="C25" s="311"/>
      <c r="D25" s="525"/>
      <c r="E25" s="526"/>
      <c r="F25" s="531"/>
      <c r="G25" s="528"/>
      <c r="H25" s="529">
        <f>SUM(G17:G25)</f>
        <v>122000</v>
      </c>
    </row>
    <row r="26" spans="1:8" ht="15" customHeight="1">
      <c r="A26" s="457"/>
      <c r="B26" s="164"/>
      <c r="C26" s="305"/>
      <c r="D26" s="509"/>
      <c r="E26" s="530"/>
      <c r="F26" s="511"/>
      <c r="G26" s="512"/>
      <c r="H26" s="513"/>
    </row>
    <row r="27" spans="1:8" ht="20.25" customHeight="1" thickBot="1">
      <c r="A27" s="458">
        <v>2000</v>
      </c>
      <c r="B27" s="163" t="s">
        <v>0</v>
      </c>
      <c r="C27" s="305"/>
      <c r="D27" s="532"/>
      <c r="E27" s="510"/>
      <c r="F27" s="511"/>
      <c r="G27" s="512"/>
      <c r="H27" s="521"/>
    </row>
    <row r="28" spans="1:8" ht="15" customHeight="1" thickTop="1" thickBot="1">
      <c r="A28" s="455"/>
      <c r="B28" s="164"/>
      <c r="C28" s="309"/>
      <c r="D28" s="418"/>
      <c r="E28" s="419"/>
      <c r="F28" s="420"/>
      <c r="G28" s="420">
        <f>ROUND(SUM(D28)*F28,0)</f>
        <v>0</v>
      </c>
      <c r="H28" s="513"/>
    </row>
    <row r="29" spans="1:8" ht="21" customHeight="1" thickTop="1" thickBot="1">
      <c r="A29" s="455"/>
      <c r="B29" s="164"/>
      <c r="C29" s="385" t="s">
        <v>509</v>
      </c>
      <c r="D29" s="533"/>
      <c r="E29" s="534"/>
      <c r="F29" s="535"/>
      <c r="G29" s="535"/>
      <c r="H29" s="521"/>
    </row>
    <row r="30" spans="1:8" ht="21" customHeight="1" thickBot="1">
      <c r="A30" s="455"/>
      <c r="B30" s="164"/>
      <c r="C30" s="313" t="s">
        <v>507</v>
      </c>
      <c r="D30" s="536">
        <v>1</v>
      </c>
      <c r="E30" s="490" t="s">
        <v>42</v>
      </c>
      <c r="F30" s="491">
        <v>50000</v>
      </c>
      <c r="G30" s="491">
        <f>+F30*D30</f>
        <v>50000</v>
      </c>
      <c r="H30" s="521"/>
    </row>
    <row r="31" spans="1:8" ht="21" customHeight="1" thickBot="1">
      <c r="A31" s="455"/>
      <c r="B31" s="164"/>
      <c r="C31" s="313" t="s">
        <v>506</v>
      </c>
      <c r="D31" s="536">
        <v>1</v>
      </c>
      <c r="E31" s="490" t="s">
        <v>42</v>
      </c>
      <c r="F31" s="491">
        <v>300000</v>
      </c>
      <c r="G31" s="491">
        <f>+F31</f>
        <v>300000</v>
      </c>
      <c r="H31" s="521"/>
    </row>
    <row r="32" spans="1:8" ht="21" customHeight="1" thickBot="1">
      <c r="A32" s="455"/>
      <c r="B32" s="164"/>
      <c r="C32" s="313" t="s">
        <v>551</v>
      </c>
      <c r="D32" s="537">
        <v>1</v>
      </c>
      <c r="E32" s="538" t="s">
        <v>42</v>
      </c>
      <c r="F32" s="535"/>
      <c r="G32" s="491" t="s">
        <v>327</v>
      </c>
      <c r="H32" s="521"/>
    </row>
    <row r="33" spans="1:8" ht="21" customHeight="1" thickTop="1" thickBot="1">
      <c r="A33" s="455"/>
      <c r="B33" s="164"/>
      <c r="C33" s="387" t="s">
        <v>510</v>
      </c>
      <c r="D33" s="539"/>
      <c r="E33" s="419"/>
      <c r="F33" s="540"/>
      <c r="G33" s="540">
        <f>ROUND(SUM(D33)*F33,0)</f>
        <v>0</v>
      </c>
      <c r="H33" s="521"/>
    </row>
    <row r="34" spans="1:8" ht="21" customHeight="1" thickTop="1" thickBot="1">
      <c r="A34" s="455"/>
      <c r="B34" s="164"/>
      <c r="C34" s="386" t="s">
        <v>552</v>
      </c>
      <c r="D34" s="539">
        <v>1</v>
      </c>
      <c r="E34" s="541" t="s">
        <v>42</v>
      </c>
      <c r="F34" s="540">
        <v>75000</v>
      </c>
      <c r="G34" s="540">
        <v>75000</v>
      </c>
      <c r="H34" s="521"/>
    </row>
    <row r="35" spans="1:8" ht="21" customHeight="1" thickTop="1" thickBot="1">
      <c r="A35" s="455"/>
      <c r="B35" s="166"/>
      <c r="C35" s="360" t="s">
        <v>512</v>
      </c>
      <c r="D35" s="537">
        <v>1</v>
      </c>
      <c r="E35" s="538" t="s">
        <v>42</v>
      </c>
      <c r="F35" s="542"/>
      <c r="G35" s="542" t="s">
        <v>327</v>
      </c>
      <c r="H35" s="513"/>
    </row>
    <row r="36" spans="1:8" ht="28.5" customHeight="1" thickTop="1" thickBot="1">
      <c r="A36" s="455"/>
      <c r="B36" s="164"/>
      <c r="C36" s="644" t="s">
        <v>514</v>
      </c>
      <c r="D36" s="539">
        <v>1</v>
      </c>
      <c r="E36" s="541" t="s">
        <v>42</v>
      </c>
      <c r="F36" s="540">
        <v>95000</v>
      </c>
      <c r="G36" s="540">
        <f>ROUND(SUM(D36)*F36,0)</f>
        <v>95000</v>
      </c>
      <c r="H36" s="521"/>
    </row>
    <row r="37" spans="1:8" ht="15" customHeight="1" thickTop="1" thickBot="1">
      <c r="A37" s="455"/>
      <c r="B37" s="164"/>
      <c r="C37" s="310" t="s">
        <v>513</v>
      </c>
      <c r="D37" s="539">
        <v>1</v>
      </c>
      <c r="E37" s="541" t="s">
        <v>42</v>
      </c>
      <c r="F37" s="540">
        <v>125000</v>
      </c>
      <c r="G37" s="540">
        <v>125000</v>
      </c>
      <c r="H37" s="521"/>
    </row>
    <row r="38" spans="1:8" ht="20.25" customHeight="1" thickTop="1" thickBot="1">
      <c r="A38" s="455"/>
      <c r="B38" s="33"/>
      <c r="C38" s="311"/>
      <c r="D38" s="525"/>
      <c r="E38" s="526"/>
      <c r="F38" s="531"/>
      <c r="G38" s="528"/>
      <c r="H38" s="529">
        <f>SUM(G27:G38)</f>
        <v>645000</v>
      </c>
    </row>
    <row r="39" spans="1:8" ht="15" customHeight="1">
      <c r="A39" s="457"/>
      <c r="B39" s="163"/>
      <c r="C39" s="305"/>
      <c r="D39" s="509"/>
      <c r="E39" s="530"/>
      <c r="F39" s="511"/>
      <c r="G39" s="512"/>
      <c r="H39" s="513"/>
    </row>
    <row r="40" spans="1:8" ht="20.25" customHeight="1" thickBot="1">
      <c r="A40" s="458">
        <v>2010</v>
      </c>
      <c r="B40" s="163" t="s">
        <v>236</v>
      </c>
      <c r="C40" s="305"/>
      <c r="D40" s="532"/>
      <c r="E40" s="510"/>
      <c r="F40" s="511"/>
      <c r="G40" s="512"/>
      <c r="H40" s="513"/>
    </row>
    <row r="41" spans="1:8" ht="15" customHeight="1" thickBot="1">
      <c r="A41" s="455"/>
      <c r="B41" s="164"/>
      <c r="C41" s="313" t="s">
        <v>238</v>
      </c>
      <c r="D41" s="537">
        <v>1</v>
      </c>
      <c r="E41" s="538" t="s">
        <v>42</v>
      </c>
      <c r="F41" s="542"/>
      <c r="G41" s="542">
        <v>420000</v>
      </c>
      <c r="H41" s="517"/>
    </row>
    <row r="42" spans="1:8" ht="22.5" customHeight="1" thickBot="1">
      <c r="A42" s="455"/>
      <c r="B42" s="164"/>
      <c r="C42" s="313" t="s">
        <v>322</v>
      </c>
      <c r="D42" s="537">
        <v>1</v>
      </c>
      <c r="E42" s="538" t="s">
        <v>42</v>
      </c>
      <c r="F42" s="491"/>
      <c r="G42" s="491" t="s">
        <v>327</v>
      </c>
      <c r="H42" s="521"/>
    </row>
    <row r="43" spans="1:8" ht="30" customHeight="1" thickBot="1">
      <c r="A43" s="455"/>
      <c r="B43" s="164"/>
      <c r="C43" s="313" t="s">
        <v>326</v>
      </c>
      <c r="D43" s="537">
        <v>1</v>
      </c>
      <c r="E43" s="538" t="s">
        <v>42</v>
      </c>
      <c r="F43" s="535"/>
      <c r="G43" s="491" t="s">
        <v>327</v>
      </c>
      <c r="H43" s="521"/>
    </row>
    <row r="44" spans="1:8" ht="21.6" customHeight="1" thickBot="1">
      <c r="A44" s="455"/>
      <c r="B44" s="164"/>
      <c r="C44" s="313" t="s">
        <v>616</v>
      </c>
      <c r="D44" s="537">
        <v>1</v>
      </c>
      <c r="E44" s="538" t="s">
        <v>42</v>
      </c>
      <c r="F44" s="535"/>
      <c r="G44" s="491" t="s">
        <v>327</v>
      </c>
      <c r="H44" s="521"/>
    </row>
    <row r="45" spans="1:8" ht="17.100000000000001" customHeight="1" thickBot="1">
      <c r="A45" s="455"/>
      <c r="B45" s="164"/>
      <c r="C45" s="313" t="s">
        <v>502</v>
      </c>
      <c r="D45" s="537">
        <v>1</v>
      </c>
      <c r="E45" s="538" t="s">
        <v>42</v>
      </c>
      <c r="F45" s="535"/>
      <c r="G45" s="491" t="s">
        <v>327</v>
      </c>
      <c r="H45" s="521"/>
    </row>
    <row r="46" spans="1:8" ht="17.100000000000001" customHeight="1" thickBot="1">
      <c r="A46" s="455"/>
      <c r="B46" s="164"/>
      <c r="C46" s="313" t="s">
        <v>504</v>
      </c>
      <c r="D46" s="537">
        <v>1</v>
      </c>
      <c r="E46" s="538" t="s">
        <v>42</v>
      </c>
      <c r="F46" s="535"/>
      <c r="G46" s="491" t="s">
        <v>327</v>
      </c>
      <c r="H46" s="521"/>
    </row>
    <row r="47" spans="1:8" ht="17.100000000000001" customHeight="1" thickBot="1">
      <c r="A47" s="455"/>
      <c r="B47" s="164"/>
      <c r="C47" s="313" t="s">
        <v>503</v>
      </c>
      <c r="D47" s="537">
        <v>1</v>
      </c>
      <c r="E47" s="538" t="s">
        <v>42</v>
      </c>
      <c r="F47" s="535"/>
      <c r="G47" s="491" t="s">
        <v>327</v>
      </c>
      <c r="H47" s="521"/>
    </row>
    <row r="48" spans="1:8" ht="17.100000000000001" customHeight="1" thickBot="1">
      <c r="A48" s="455"/>
      <c r="B48" s="164"/>
      <c r="C48" s="313" t="s">
        <v>505</v>
      </c>
      <c r="D48" s="537">
        <v>1</v>
      </c>
      <c r="E48" s="538" t="s">
        <v>42</v>
      </c>
      <c r="F48" s="535"/>
      <c r="G48" s="491" t="s">
        <v>327</v>
      </c>
      <c r="H48" s="521"/>
    </row>
    <row r="49" spans="1:8" ht="19.899999999999999" customHeight="1" thickBot="1">
      <c r="A49" s="455"/>
      <c r="B49" s="33"/>
      <c r="C49" s="311"/>
      <c r="D49" s="525"/>
      <c r="E49" s="526"/>
      <c r="F49" s="531"/>
      <c r="G49" s="528"/>
      <c r="H49" s="529">
        <f>SUM(G40:G49)</f>
        <v>420000</v>
      </c>
    </row>
    <row r="50" spans="1:8" ht="20.25" customHeight="1">
      <c r="A50" s="457"/>
      <c r="B50" s="166"/>
      <c r="C50" s="317"/>
      <c r="D50" s="532"/>
      <c r="E50" s="530"/>
      <c r="F50" s="543"/>
      <c r="G50" s="512"/>
      <c r="H50" s="513"/>
    </row>
    <row r="51" spans="1:8" ht="20.100000000000001">
      <c r="A51" s="458">
        <v>2050</v>
      </c>
      <c r="B51" s="163" t="s">
        <v>44</v>
      </c>
      <c r="C51" s="305"/>
      <c r="D51" s="532"/>
      <c r="E51" s="510"/>
      <c r="F51" s="511"/>
      <c r="G51" s="512"/>
      <c r="H51" s="513"/>
    </row>
    <row r="52" spans="1:8" ht="15" customHeight="1" thickBot="1">
      <c r="A52" s="455"/>
      <c r="B52" s="163"/>
      <c r="C52" s="318"/>
      <c r="D52" s="532"/>
      <c r="E52" s="510"/>
      <c r="F52" s="511"/>
      <c r="G52" s="512"/>
      <c r="H52" s="513"/>
    </row>
    <row r="53" spans="1:8" ht="30.6" customHeight="1" thickBot="1">
      <c r="A53" s="455"/>
      <c r="B53" s="164"/>
      <c r="C53" s="319" t="s">
        <v>331</v>
      </c>
      <c r="D53" s="522">
        <v>2600</v>
      </c>
      <c r="E53" s="523" t="s">
        <v>46</v>
      </c>
      <c r="F53" s="524">
        <v>25</v>
      </c>
      <c r="G53" s="524">
        <f t="shared" ref="G53:G60" si="2">ROUND(SUM(D53)*F53,0)</f>
        <v>65000</v>
      </c>
      <c r="H53" s="517"/>
    </row>
    <row r="54" spans="1:8" ht="15" customHeight="1" thickBot="1">
      <c r="A54" s="459"/>
      <c r="B54" s="164"/>
      <c r="C54" s="319" t="s">
        <v>237</v>
      </c>
      <c r="D54" s="522">
        <v>1000</v>
      </c>
      <c r="E54" s="523" t="s">
        <v>46</v>
      </c>
      <c r="F54" s="524">
        <v>55</v>
      </c>
      <c r="G54" s="524">
        <f t="shared" si="2"/>
        <v>55000</v>
      </c>
      <c r="H54" s="517"/>
    </row>
    <row r="55" spans="1:8" ht="30.6" customHeight="1" thickBot="1">
      <c r="A55" s="459"/>
      <c r="B55" s="164"/>
      <c r="C55" s="319" t="s">
        <v>252</v>
      </c>
      <c r="D55" s="522">
        <v>1000</v>
      </c>
      <c r="E55" s="523" t="s">
        <v>46</v>
      </c>
      <c r="F55" s="524">
        <v>10</v>
      </c>
      <c r="G55" s="524">
        <f t="shared" si="2"/>
        <v>10000</v>
      </c>
      <c r="H55" s="517"/>
    </row>
    <row r="56" spans="1:8" ht="15" customHeight="1" thickBot="1">
      <c r="A56" s="459"/>
      <c r="B56" s="164"/>
      <c r="C56" s="319" t="s">
        <v>253</v>
      </c>
      <c r="D56" s="522">
        <v>10</v>
      </c>
      <c r="E56" s="523" t="s">
        <v>69</v>
      </c>
      <c r="F56" s="524">
        <v>500</v>
      </c>
      <c r="G56" s="524">
        <f t="shared" si="2"/>
        <v>5000</v>
      </c>
      <c r="H56" s="517"/>
    </row>
    <row r="57" spans="1:8" ht="15" customHeight="1" thickBot="1">
      <c r="A57" s="459"/>
      <c r="B57" s="164"/>
      <c r="C57" s="319" t="s">
        <v>511</v>
      </c>
      <c r="D57" s="522">
        <v>2</v>
      </c>
      <c r="E57" s="523" t="s">
        <v>42</v>
      </c>
      <c r="F57" s="524">
        <v>3000</v>
      </c>
      <c r="G57" s="524">
        <f t="shared" si="2"/>
        <v>6000</v>
      </c>
      <c r="H57" s="517"/>
    </row>
    <row r="58" spans="1:8" ht="15" customHeight="1" thickBot="1">
      <c r="A58" s="459"/>
      <c r="B58" s="164"/>
      <c r="C58" s="319" t="s">
        <v>320</v>
      </c>
      <c r="D58" s="522">
        <f>30*10</f>
        <v>300</v>
      </c>
      <c r="E58" s="523" t="s">
        <v>46</v>
      </c>
      <c r="F58" s="524">
        <v>20</v>
      </c>
      <c r="G58" s="524">
        <f t="shared" si="2"/>
        <v>6000</v>
      </c>
      <c r="H58" s="517"/>
    </row>
    <row r="59" spans="1:8" ht="15" customHeight="1" thickBot="1">
      <c r="A59" s="459"/>
      <c r="B59" s="164"/>
      <c r="C59" s="319" t="s">
        <v>553</v>
      </c>
      <c r="D59" s="522">
        <v>920</v>
      </c>
      <c r="E59" s="523" t="s">
        <v>46</v>
      </c>
      <c r="F59" s="524">
        <v>15</v>
      </c>
      <c r="G59" s="524">
        <f t="shared" si="2"/>
        <v>13800</v>
      </c>
      <c r="H59" s="517"/>
    </row>
    <row r="60" spans="1:8" ht="15" customHeight="1" thickBot="1">
      <c r="A60" s="459"/>
      <c r="B60" s="164"/>
      <c r="C60" s="319" t="s">
        <v>554</v>
      </c>
      <c r="D60" s="522">
        <v>5</v>
      </c>
      <c r="E60" s="523" t="s">
        <v>240</v>
      </c>
      <c r="F60" s="524">
        <v>3500</v>
      </c>
      <c r="G60" s="524">
        <f t="shared" si="2"/>
        <v>17500</v>
      </c>
      <c r="H60" s="517"/>
    </row>
    <row r="61" spans="1:8" ht="15" customHeight="1">
      <c r="A61" s="459"/>
      <c r="B61" s="164"/>
      <c r="C61" s="320"/>
      <c r="D61" s="544"/>
      <c r="E61" s="545"/>
      <c r="F61" s="546"/>
      <c r="G61" s="546"/>
      <c r="H61" s="517"/>
    </row>
    <row r="62" spans="1:8" ht="19.5" customHeight="1" thickBot="1">
      <c r="A62" s="455"/>
      <c r="B62" s="167"/>
      <c r="C62" s="311"/>
      <c r="D62" s="525"/>
      <c r="E62" s="526"/>
      <c r="F62" s="531"/>
      <c r="G62" s="528"/>
      <c r="H62" s="529">
        <f>SUM(G51:G62)</f>
        <v>178300</v>
      </c>
    </row>
    <row r="63" spans="1:8" ht="15" customHeight="1">
      <c r="A63" s="457"/>
      <c r="B63" s="163"/>
      <c r="C63" s="305"/>
      <c r="D63" s="509"/>
      <c r="E63" s="530"/>
      <c r="F63" s="511"/>
      <c r="G63" s="512"/>
      <c r="H63" s="513"/>
    </row>
    <row r="64" spans="1:8" ht="20.25" customHeight="1">
      <c r="A64" s="458">
        <v>2090</v>
      </c>
      <c r="B64" s="163" t="s">
        <v>1</v>
      </c>
      <c r="C64" s="305"/>
      <c r="D64" s="532"/>
      <c r="E64" s="510"/>
      <c r="F64" s="511"/>
      <c r="G64" s="512"/>
      <c r="H64" s="513"/>
    </row>
    <row r="65" spans="1:8" ht="19.5" customHeight="1" thickBot="1">
      <c r="A65" s="455"/>
      <c r="B65" s="33"/>
      <c r="C65" s="311"/>
      <c r="D65" s="525"/>
      <c r="E65" s="526"/>
      <c r="F65" s="531"/>
      <c r="G65" s="528"/>
      <c r="H65" s="529" t="s">
        <v>243</v>
      </c>
    </row>
    <row r="66" spans="1:8" ht="0.6" customHeight="1" thickBot="1">
      <c r="A66" s="457"/>
      <c r="B66" s="163"/>
      <c r="C66" s="305"/>
      <c r="D66" s="509"/>
      <c r="E66" s="530"/>
      <c r="F66" s="511"/>
      <c r="G66" s="512"/>
      <c r="H66" s="513"/>
    </row>
    <row r="67" spans="1:8" ht="15" customHeight="1">
      <c r="A67" s="457"/>
      <c r="B67" s="163"/>
      <c r="C67" s="305"/>
      <c r="D67" s="509"/>
      <c r="E67" s="530"/>
      <c r="F67" s="511"/>
      <c r="G67" s="512"/>
      <c r="H67" s="513"/>
    </row>
    <row r="68" spans="1:8" ht="19.5" customHeight="1">
      <c r="A68" s="458">
        <v>2100</v>
      </c>
      <c r="B68" s="163" t="s">
        <v>269</v>
      </c>
      <c r="C68" s="305"/>
      <c r="D68" s="509"/>
      <c r="E68" s="530"/>
      <c r="F68" s="511"/>
      <c r="G68" s="512"/>
      <c r="H68" s="513"/>
    </row>
    <row r="69" spans="1:8" ht="15" customHeight="1" thickBot="1">
      <c r="A69" s="460"/>
      <c r="B69" s="79"/>
      <c r="C69" s="305"/>
      <c r="D69" s="509"/>
      <c r="E69" s="530"/>
      <c r="F69" s="511"/>
      <c r="G69" s="512"/>
      <c r="H69" s="547"/>
    </row>
    <row r="70" spans="1:8" ht="15" customHeight="1" thickBot="1">
      <c r="A70" s="460"/>
      <c r="B70" s="79"/>
      <c r="C70" s="312" t="s">
        <v>596</v>
      </c>
      <c r="D70" s="537">
        <v>140</v>
      </c>
      <c r="E70" s="538" t="s">
        <v>46</v>
      </c>
      <c r="F70" s="542">
        <v>150</v>
      </c>
      <c r="G70" s="542">
        <f>+F70*D70</f>
        <v>21000</v>
      </c>
      <c r="H70" s="547"/>
    </row>
    <row r="71" spans="1:8" ht="15" customHeight="1" thickBot="1">
      <c r="A71" s="460"/>
      <c r="B71" s="79"/>
      <c r="C71" s="312" t="s">
        <v>500</v>
      </c>
      <c r="D71" s="537">
        <v>355</v>
      </c>
      <c r="E71" s="538" t="s">
        <v>46</v>
      </c>
      <c r="F71" s="542">
        <v>75</v>
      </c>
      <c r="G71" s="542">
        <f>+F71*D71</f>
        <v>26625</v>
      </c>
      <c r="H71" s="547"/>
    </row>
    <row r="72" spans="1:8" ht="15" customHeight="1" thickBot="1">
      <c r="A72" s="460"/>
      <c r="B72" s="79"/>
      <c r="C72" s="312" t="s">
        <v>501</v>
      </c>
      <c r="D72" s="537">
        <v>200</v>
      </c>
      <c r="E72" s="538" t="s">
        <v>46</v>
      </c>
      <c r="F72" s="542">
        <v>25</v>
      </c>
      <c r="G72" s="542">
        <f t="shared" ref="G72:G75" si="3">+F72*D72</f>
        <v>5000</v>
      </c>
      <c r="H72" s="547"/>
    </row>
    <row r="73" spans="1:8" ht="15" customHeight="1" thickBot="1">
      <c r="A73" s="460"/>
      <c r="B73" s="79"/>
      <c r="C73" s="312" t="s">
        <v>541</v>
      </c>
      <c r="D73" s="537">
        <v>22</v>
      </c>
      <c r="E73" s="538" t="s">
        <v>45</v>
      </c>
      <c r="F73" s="542">
        <v>75</v>
      </c>
      <c r="G73" s="542">
        <f t="shared" si="3"/>
        <v>1650</v>
      </c>
      <c r="H73" s="547"/>
    </row>
    <row r="74" spans="1:8" ht="15" customHeight="1" thickBot="1">
      <c r="A74" s="460"/>
      <c r="B74" s="79"/>
      <c r="C74" s="312" t="s">
        <v>540</v>
      </c>
      <c r="D74" s="537">
        <v>1</v>
      </c>
      <c r="E74" s="538" t="s">
        <v>42</v>
      </c>
      <c r="F74" s="542">
        <v>15000</v>
      </c>
      <c r="G74" s="542">
        <f t="shared" si="3"/>
        <v>15000</v>
      </c>
      <c r="H74" s="547"/>
    </row>
    <row r="75" spans="1:8" ht="15" customHeight="1" thickBot="1">
      <c r="A75" s="460"/>
      <c r="B75" s="79"/>
      <c r="C75" s="312" t="s">
        <v>542</v>
      </c>
      <c r="D75" s="537">
        <v>1</v>
      </c>
      <c r="E75" s="538" t="s">
        <v>42</v>
      </c>
      <c r="F75" s="542">
        <v>7500</v>
      </c>
      <c r="G75" s="542">
        <f t="shared" si="3"/>
        <v>7500</v>
      </c>
      <c r="H75" s="547"/>
    </row>
    <row r="76" spans="1:8" ht="19.5" customHeight="1" thickBot="1">
      <c r="A76" s="455"/>
      <c r="B76" s="168"/>
      <c r="C76" s="311"/>
      <c r="D76" s="525"/>
      <c r="E76" s="526"/>
      <c r="F76" s="531"/>
      <c r="G76" s="528"/>
      <c r="H76" s="529">
        <f>SUM(G68:G76)</f>
        <v>76775</v>
      </c>
    </row>
    <row r="77" spans="1:8" ht="11.65" customHeight="1">
      <c r="A77" s="457"/>
      <c r="B77" s="163"/>
      <c r="C77" s="305"/>
      <c r="D77" s="509"/>
      <c r="E77" s="530"/>
      <c r="F77" s="511"/>
      <c r="G77" s="512"/>
      <c r="H77" s="513"/>
    </row>
    <row r="78" spans="1:8" ht="20.25" customHeight="1">
      <c r="A78" s="458">
        <v>3000</v>
      </c>
      <c r="B78" s="163" t="s">
        <v>122</v>
      </c>
      <c r="C78" s="305"/>
      <c r="D78" s="509"/>
      <c r="E78" s="530"/>
      <c r="F78" s="511"/>
      <c r="G78" s="512"/>
      <c r="H78" s="513"/>
    </row>
    <row r="79" spans="1:8" ht="14.65" customHeight="1" thickBot="1">
      <c r="A79" s="458"/>
      <c r="B79" s="163"/>
      <c r="C79" s="305"/>
      <c r="D79" s="509"/>
      <c r="E79" s="530"/>
      <c r="F79" s="511"/>
      <c r="G79" s="512"/>
      <c r="H79" s="517"/>
    </row>
    <row r="80" spans="1:8" ht="23.65" customHeight="1" thickBot="1">
      <c r="A80" s="455"/>
      <c r="B80" s="166"/>
      <c r="C80" s="312" t="s">
        <v>508</v>
      </c>
      <c r="D80" s="537">
        <v>1300</v>
      </c>
      <c r="E80" s="538" t="s">
        <v>46</v>
      </c>
      <c r="F80" s="542">
        <v>20</v>
      </c>
      <c r="G80" s="542">
        <f t="shared" ref="G80" si="4">ROUND(SUM(D80)*F80,0)</f>
        <v>26000</v>
      </c>
      <c r="H80" s="513"/>
    </row>
    <row r="81" spans="1:9" ht="19.5" customHeight="1" thickBot="1">
      <c r="A81" s="455"/>
      <c r="B81" s="168"/>
      <c r="C81" s="311"/>
      <c r="D81" s="525"/>
      <c r="E81" s="526"/>
      <c r="F81" s="531"/>
      <c r="G81" s="528"/>
      <c r="H81" s="529">
        <f>SUM(G78:G81)</f>
        <v>26000</v>
      </c>
    </row>
    <row r="82" spans="1:9" ht="15" customHeight="1">
      <c r="A82" s="457"/>
      <c r="B82" s="163"/>
      <c r="C82" s="305"/>
      <c r="D82" s="509"/>
      <c r="E82" s="530"/>
      <c r="F82" s="511"/>
      <c r="G82" s="512"/>
      <c r="H82" s="513"/>
    </row>
    <row r="83" spans="1:9" ht="19.5" customHeight="1" thickBot="1">
      <c r="A83" s="458">
        <v>4000</v>
      </c>
      <c r="B83" s="163" t="s">
        <v>87</v>
      </c>
      <c r="C83" s="305"/>
      <c r="D83" s="509"/>
      <c r="E83" s="530"/>
      <c r="F83" s="511"/>
      <c r="G83" s="512"/>
      <c r="H83" s="513"/>
    </row>
    <row r="84" spans="1:9" ht="29.1" customHeight="1" thickBot="1">
      <c r="A84" s="460"/>
      <c r="B84" s="79"/>
      <c r="C84" s="312" t="s">
        <v>334</v>
      </c>
      <c r="D84" s="537">
        <f>60*20</f>
        <v>1200</v>
      </c>
      <c r="E84" s="538" t="s">
        <v>46</v>
      </c>
      <c r="F84" s="542">
        <v>30</v>
      </c>
      <c r="G84" s="542">
        <f>ROUND(SUM(D84)*F84,0)</f>
        <v>36000</v>
      </c>
      <c r="H84" s="547"/>
    </row>
    <row r="85" spans="1:9" ht="15" customHeight="1" thickBot="1">
      <c r="A85" s="460"/>
      <c r="B85" s="79"/>
      <c r="C85" s="312" t="s">
        <v>245</v>
      </c>
      <c r="D85" s="537">
        <v>5</v>
      </c>
      <c r="E85" s="538" t="s">
        <v>69</v>
      </c>
      <c r="F85" s="542">
        <v>500</v>
      </c>
      <c r="G85" s="542">
        <f>ROUND(SUM(D85)*F85,0)</f>
        <v>2500</v>
      </c>
      <c r="H85" s="547"/>
    </row>
    <row r="86" spans="1:9" ht="15" customHeight="1" thickBot="1">
      <c r="A86" s="455"/>
      <c r="B86" s="163"/>
      <c r="C86" s="312" t="s">
        <v>272</v>
      </c>
      <c r="D86" s="537">
        <v>1</v>
      </c>
      <c r="E86" s="538" t="s">
        <v>42</v>
      </c>
      <c r="F86" s="542">
        <v>5000</v>
      </c>
      <c r="G86" s="542">
        <f>ROUND(SUM(D86)*F86,0)</f>
        <v>5000</v>
      </c>
      <c r="H86" s="547"/>
    </row>
    <row r="87" spans="1:9" ht="15" customHeight="1" thickBot="1">
      <c r="A87" s="460"/>
      <c r="B87" s="79"/>
      <c r="C87" s="312" t="s">
        <v>522</v>
      </c>
      <c r="D87" s="537">
        <v>450</v>
      </c>
      <c r="E87" s="538" t="s">
        <v>46</v>
      </c>
      <c r="F87" s="542">
        <v>45</v>
      </c>
      <c r="G87" s="542">
        <f>ROUND(SUM(D87)*F87,0)</f>
        <v>20250</v>
      </c>
      <c r="H87" s="547"/>
    </row>
    <row r="88" spans="1:9" ht="15" customHeight="1" thickBot="1">
      <c r="A88" s="460"/>
      <c r="B88" s="79"/>
      <c r="C88" s="330" t="s">
        <v>382</v>
      </c>
      <c r="D88" s="537"/>
      <c r="E88" s="538"/>
      <c r="F88" s="542"/>
      <c r="G88" s="542"/>
      <c r="H88" s="547"/>
    </row>
    <row r="89" spans="1:9" ht="28.9" customHeight="1" thickBot="1">
      <c r="A89" s="460"/>
      <c r="B89" s="79"/>
      <c r="C89" s="312" t="s">
        <v>555</v>
      </c>
      <c r="D89" s="537">
        <v>150</v>
      </c>
      <c r="E89" s="538" t="s">
        <v>46</v>
      </c>
      <c r="F89" s="542">
        <v>60</v>
      </c>
      <c r="G89" s="542">
        <f t="shared" ref="G89:G94" si="5">ROUND(SUM(D89)*F89,0)</f>
        <v>9000</v>
      </c>
      <c r="H89" s="547"/>
    </row>
    <row r="90" spans="1:9" ht="15" customHeight="1" thickBot="1">
      <c r="A90" s="460"/>
      <c r="B90" s="79"/>
      <c r="C90" s="312" t="s">
        <v>247</v>
      </c>
      <c r="D90" s="537">
        <v>1</v>
      </c>
      <c r="E90" s="538" t="s">
        <v>623</v>
      </c>
      <c r="F90" s="542">
        <v>5000</v>
      </c>
      <c r="G90" s="542">
        <f t="shared" si="5"/>
        <v>5000</v>
      </c>
      <c r="H90" s="547"/>
    </row>
    <row r="91" spans="1:9" ht="15" customHeight="1" thickBot="1">
      <c r="A91" s="460"/>
      <c r="B91" s="79"/>
      <c r="C91" s="312" t="s">
        <v>378</v>
      </c>
      <c r="D91" s="537">
        <v>400</v>
      </c>
      <c r="E91" s="538" t="s">
        <v>46</v>
      </c>
      <c r="F91" s="542">
        <v>35</v>
      </c>
      <c r="G91" s="542">
        <f t="shared" si="5"/>
        <v>14000</v>
      </c>
      <c r="H91" s="547"/>
    </row>
    <row r="92" spans="1:9" ht="24" customHeight="1" thickBot="1">
      <c r="A92" s="460"/>
      <c r="B92" s="79"/>
      <c r="C92" s="312" t="s">
        <v>379</v>
      </c>
      <c r="D92" s="537">
        <v>2800</v>
      </c>
      <c r="E92" s="538" t="s">
        <v>46</v>
      </c>
      <c r="F92" s="542">
        <v>7</v>
      </c>
      <c r="G92" s="542">
        <f t="shared" si="5"/>
        <v>19600</v>
      </c>
      <c r="H92" s="547"/>
    </row>
    <row r="93" spans="1:9" ht="15" customHeight="1" thickBot="1">
      <c r="A93" s="460"/>
      <c r="B93" s="79"/>
      <c r="C93" s="312" t="s">
        <v>380</v>
      </c>
      <c r="D93" s="537">
        <v>1</v>
      </c>
      <c r="E93" s="538" t="s">
        <v>42</v>
      </c>
      <c r="F93" s="542">
        <v>10000</v>
      </c>
      <c r="G93" s="542">
        <f t="shared" si="5"/>
        <v>10000</v>
      </c>
      <c r="H93" s="547"/>
    </row>
    <row r="94" spans="1:9" ht="29.1" customHeight="1" thickBot="1">
      <c r="A94" s="460"/>
      <c r="B94" s="79"/>
      <c r="C94" s="312" t="s">
        <v>381</v>
      </c>
      <c r="D94" s="537">
        <v>1</v>
      </c>
      <c r="E94" s="538" t="s">
        <v>42</v>
      </c>
      <c r="F94" s="542">
        <v>20000</v>
      </c>
      <c r="G94" s="542">
        <f t="shared" si="5"/>
        <v>20000</v>
      </c>
      <c r="H94" s="547"/>
      <c r="I94">
        <f>SUM(G89:G94)</f>
        <v>77600</v>
      </c>
    </row>
    <row r="95" spans="1:9" ht="19.5" customHeight="1" thickBot="1">
      <c r="A95" s="455"/>
      <c r="B95" s="168"/>
      <c r="C95" s="311"/>
      <c r="D95" s="525"/>
      <c r="E95" s="526"/>
      <c r="F95" s="531"/>
      <c r="G95" s="528"/>
      <c r="H95" s="529">
        <f>SUM(G83:G95)</f>
        <v>141350</v>
      </c>
    </row>
    <row r="96" spans="1:9" ht="11.1" customHeight="1">
      <c r="A96" s="457"/>
      <c r="B96" s="163"/>
      <c r="C96" s="305"/>
      <c r="D96" s="509"/>
      <c r="E96" s="530"/>
      <c r="F96" s="511"/>
      <c r="G96" s="512"/>
      <c r="H96" s="513"/>
    </row>
    <row r="97" spans="1:8" ht="20.25" customHeight="1" thickBot="1">
      <c r="A97" s="458">
        <v>4500</v>
      </c>
      <c r="B97" s="163" t="s">
        <v>244</v>
      </c>
      <c r="C97" s="305"/>
      <c r="D97" s="532"/>
      <c r="E97" s="510"/>
      <c r="F97" s="511"/>
      <c r="G97" s="512"/>
      <c r="H97" s="513"/>
    </row>
    <row r="98" spans="1:8" ht="15" customHeight="1" thickBot="1">
      <c r="A98" s="455"/>
      <c r="B98" s="164"/>
      <c r="C98" s="312" t="s">
        <v>246</v>
      </c>
      <c r="D98" s="537">
        <f>850-60-75-70-25</f>
        <v>620</v>
      </c>
      <c r="E98" s="538" t="s">
        <v>46</v>
      </c>
      <c r="F98" s="542">
        <v>20</v>
      </c>
      <c r="G98" s="542">
        <f>ROUND(SUM(D98)*F98,0)</f>
        <v>12400</v>
      </c>
      <c r="H98" s="513"/>
    </row>
    <row r="99" spans="1:8" ht="15" customHeight="1" thickBot="1">
      <c r="A99" s="455"/>
      <c r="B99" s="164"/>
      <c r="C99" s="313" t="s">
        <v>254</v>
      </c>
      <c r="D99" s="489">
        <v>10</v>
      </c>
      <c r="E99" s="490" t="s">
        <v>69</v>
      </c>
      <c r="F99" s="491">
        <v>500</v>
      </c>
      <c r="G99" s="491">
        <f>ROUND(SUM(D99)*F99,0)</f>
        <v>5000</v>
      </c>
      <c r="H99" s="547"/>
    </row>
    <row r="100" spans="1:8" ht="15" customHeight="1" thickBot="1">
      <c r="A100" s="455"/>
      <c r="B100" s="164"/>
      <c r="C100" s="313" t="s">
        <v>255</v>
      </c>
      <c r="D100" s="489">
        <v>110</v>
      </c>
      <c r="E100" s="490" t="s">
        <v>46</v>
      </c>
      <c r="F100" s="491">
        <v>25</v>
      </c>
      <c r="G100" s="491">
        <f>ROUND(SUM(D100)*F100,0)</f>
        <v>2750</v>
      </c>
      <c r="H100" s="547"/>
    </row>
    <row r="101" spans="1:8" ht="15" customHeight="1" thickBot="1">
      <c r="A101" s="455"/>
      <c r="B101" s="164"/>
      <c r="C101" s="313" t="s">
        <v>519</v>
      </c>
      <c r="D101" s="489">
        <v>1</v>
      </c>
      <c r="E101" s="490" t="s">
        <v>42</v>
      </c>
      <c r="F101" s="491">
        <v>15000</v>
      </c>
      <c r="G101" s="491">
        <f t="shared" ref="G101:G104" si="6">ROUND(SUM(D101)*F101,0)</f>
        <v>15000</v>
      </c>
      <c r="H101" s="547"/>
    </row>
    <row r="102" spans="1:8" ht="15" customHeight="1" thickBot="1">
      <c r="A102" s="455"/>
      <c r="B102" s="164"/>
      <c r="C102" s="313" t="s">
        <v>257</v>
      </c>
      <c r="D102" s="489">
        <v>1</v>
      </c>
      <c r="E102" s="490" t="s">
        <v>42</v>
      </c>
      <c r="F102" s="491">
        <v>20000</v>
      </c>
      <c r="G102" s="491">
        <f t="shared" si="6"/>
        <v>20000</v>
      </c>
      <c r="H102" s="547"/>
    </row>
    <row r="103" spans="1:8" ht="15" customHeight="1" thickBot="1">
      <c r="A103" s="455"/>
      <c r="B103" s="164"/>
      <c r="C103" s="488" t="s">
        <v>680</v>
      </c>
      <c r="D103" s="489">
        <v>23</v>
      </c>
      <c r="E103" s="490" t="s">
        <v>619</v>
      </c>
      <c r="F103" s="491">
        <v>75</v>
      </c>
      <c r="G103" s="491">
        <f t="shared" si="6"/>
        <v>1725</v>
      </c>
      <c r="H103" s="547"/>
    </row>
    <row r="104" spans="1:8" ht="15" customHeight="1" thickBot="1">
      <c r="A104" s="455"/>
      <c r="B104" s="164"/>
      <c r="C104" s="313" t="s">
        <v>323</v>
      </c>
      <c r="D104" s="489">
        <v>2</v>
      </c>
      <c r="E104" s="490" t="s">
        <v>69</v>
      </c>
      <c r="F104" s="491">
        <v>5000</v>
      </c>
      <c r="G104" s="491">
        <f t="shared" si="6"/>
        <v>10000</v>
      </c>
      <c r="H104" s="547"/>
    </row>
    <row r="105" spans="1:8" ht="20.25" customHeight="1" thickBot="1">
      <c r="A105" s="455"/>
      <c r="B105" s="33"/>
      <c r="C105" s="311"/>
      <c r="D105" s="525"/>
      <c r="E105" s="526"/>
      <c r="F105" s="531"/>
      <c r="G105" s="528"/>
      <c r="H105" s="529">
        <f>SUM(G97:G105)</f>
        <v>66875</v>
      </c>
    </row>
    <row r="106" spans="1:8" ht="8.1" customHeight="1">
      <c r="A106" s="457"/>
      <c r="B106" s="163"/>
      <c r="C106" s="305"/>
      <c r="D106" s="509"/>
      <c r="E106" s="530"/>
      <c r="F106" s="511"/>
      <c r="G106" s="512"/>
      <c r="H106" s="513"/>
    </row>
    <row r="107" spans="1:8" ht="20.25" customHeight="1" thickBot="1">
      <c r="A107" s="458">
        <v>5120</v>
      </c>
      <c r="B107" s="163" t="s">
        <v>154</v>
      </c>
      <c r="C107" s="305"/>
      <c r="D107" s="509"/>
      <c r="E107" s="510"/>
      <c r="F107" s="511"/>
      <c r="G107" s="512" t="s">
        <v>71</v>
      </c>
      <c r="H107" s="513"/>
    </row>
    <row r="108" spans="1:8" ht="15" customHeight="1" thickBot="1">
      <c r="A108" s="455"/>
      <c r="B108" s="166"/>
      <c r="C108" s="312" t="s">
        <v>321</v>
      </c>
      <c r="D108" s="537">
        <v>200</v>
      </c>
      <c r="E108" s="538" t="s">
        <v>45</v>
      </c>
      <c r="F108" s="542">
        <v>425</v>
      </c>
      <c r="G108" s="542">
        <f t="shared" ref="G108:G112" si="7">ROUND(SUM(D108)*F108,0)</f>
        <v>85000</v>
      </c>
      <c r="H108" s="513"/>
    </row>
    <row r="109" spans="1:8" ht="15" customHeight="1" thickBot="1">
      <c r="A109" s="455"/>
      <c r="B109" s="166"/>
      <c r="C109" s="312" t="s">
        <v>324</v>
      </c>
      <c r="D109" s="537">
        <v>300</v>
      </c>
      <c r="E109" s="538" t="s">
        <v>45</v>
      </c>
      <c r="F109" s="542">
        <v>200</v>
      </c>
      <c r="G109" s="542">
        <f>ROUND(SUM(D109)*F109,0)</f>
        <v>60000</v>
      </c>
      <c r="H109" s="513"/>
    </row>
    <row r="110" spans="1:8" ht="15" customHeight="1" thickBot="1">
      <c r="A110" s="455"/>
      <c r="B110" s="166"/>
      <c r="C110" s="312" t="s">
        <v>383</v>
      </c>
      <c r="D110" s="537">
        <v>1300</v>
      </c>
      <c r="E110" s="538" t="s">
        <v>46</v>
      </c>
      <c r="F110" s="542">
        <v>45</v>
      </c>
      <c r="G110" s="542">
        <f>ROUND(SUM(D110)*F110,0)</f>
        <v>58500</v>
      </c>
      <c r="H110" s="513"/>
    </row>
    <row r="111" spans="1:8" ht="15" customHeight="1" thickBot="1">
      <c r="A111" s="455"/>
      <c r="B111" s="166"/>
      <c r="C111" s="312" t="s">
        <v>260</v>
      </c>
      <c r="D111" s="537">
        <v>1</v>
      </c>
      <c r="E111" s="538" t="s">
        <v>42</v>
      </c>
      <c r="F111" s="542">
        <v>5000</v>
      </c>
      <c r="G111" s="542">
        <f t="shared" si="7"/>
        <v>5000</v>
      </c>
      <c r="H111" s="513"/>
    </row>
    <row r="112" spans="1:8" ht="15" customHeight="1" thickBot="1">
      <c r="A112" s="455"/>
      <c r="B112" s="166"/>
      <c r="C112" s="312" t="s">
        <v>384</v>
      </c>
      <c r="D112" s="537">
        <v>1</v>
      </c>
      <c r="E112" s="538" t="s">
        <v>42</v>
      </c>
      <c r="F112" s="542">
        <v>30000</v>
      </c>
      <c r="G112" s="542">
        <f t="shared" si="7"/>
        <v>30000</v>
      </c>
      <c r="H112" s="513"/>
    </row>
    <row r="113" spans="1:8" ht="19.5" customHeight="1" thickBot="1">
      <c r="A113" s="455"/>
      <c r="B113" s="33"/>
      <c r="C113" s="311"/>
      <c r="D113" s="525"/>
      <c r="E113" s="526"/>
      <c r="F113" s="531"/>
      <c r="G113" s="528"/>
      <c r="H113" s="529">
        <f>SUM(G107:G113)</f>
        <v>238500</v>
      </c>
    </row>
    <row r="114" spans="1:8" ht="12" customHeight="1">
      <c r="A114" s="457"/>
      <c r="B114" s="164"/>
      <c r="C114" s="305"/>
      <c r="D114" s="509"/>
      <c r="E114" s="530"/>
      <c r="F114" s="511"/>
      <c r="G114" s="512"/>
      <c r="H114" s="513"/>
    </row>
    <row r="115" spans="1:8" ht="19.5" customHeight="1" thickBot="1">
      <c r="A115" s="458">
        <v>5400</v>
      </c>
      <c r="B115" s="163" t="s">
        <v>385</v>
      </c>
      <c r="C115" s="305"/>
      <c r="D115" s="509"/>
      <c r="E115" s="530"/>
      <c r="F115" s="511"/>
      <c r="G115" s="512"/>
      <c r="H115" s="513"/>
    </row>
    <row r="116" spans="1:8" ht="20.65" customHeight="1" thickBot="1">
      <c r="A116" s="455"/>
      <c r="B116" s="164"/>
      <c r="C116" s="312" t="s">
        <v>258</v>
      </c>
      <c r="D116" s="537">
        <v>1</v>
      </c>
      <c r="E116" s="538" t="s">
        <v>42</v>
      </c>
      <c r="F116" s="542">
        <v>20000</v>
      </c>
      <c r="G116" s="542">
        <f>ROUND(SUM(D116)*F116,0)</f>
        <v>20000</v>
      </c>
      <c r="H116" s="513"/>
    </row>
    <row r="117" spans="1:8" ht="15" customHeight="1" thickBot="1">
      <c r="A117" s="455"/>
      <c r="B117" s="164"/>
      <c r="C117" s="313" t="s">
        <v>259</v>
      </c>
      <c r="D117" s="489">
        <v>1</v>
      </c>
      <c r="E117" s="490" t="s">
        <v>42</v>
      </c>
      <c r="F117" s="491">
        <v>20000</v>
      </c>
      <c r="G117" s="491">
        <f>ROUND(SUM(D117)*F117,0)</f>
        <v>20000</v>
      </c>
      <c r="H117" s="547"/>
    </row>
    <row r="118" spans="1:8" ht="15" customHeight="1" thickBot="1">
      <c r="A118" s="455"/>
      <c r="B118" s="164"/>
      <c r="C118" s="313" t="s">
        <v>386</v>
      </c>
      <c r="D118" s="489">
        <v>1</v>
      </c>
      <c r="E118" s="490" t="s">
        <v>42</v>
      </c>
      <c r="F118" s="491">
        <v>10500</v>
      </c>
      <c r="G118" s="491">
        <f t="shared" ref="G118:G122" si="8">ROUND(SUM(D118)*F118,0)</f>
        <v>10500</v>
      </c>
      <c r="H118" s="547"/>
    </row>
    <row r="119" spans="1:8" ht="15" customHeight="1" thickBot="1">
      <c r="A119" s="455"/>
      <c r="B119" s="164"/>
      <c r="C119" s="313" t="s">
        <v>392</v>
      </c>
      <c r="D119" s="489">
        <v>2</v>
      </c>
      <c r="E119" s="490" t="s">
        <v>69</v>
      </c>
      <c r="F119" s="491">
        <v>2000</v>
      </c>
      <c r="G119" s="491">
        <f t="shared" si="8"/>
        <v>4000</v>
      </c>
      <c r="H119" s="547"/>
    </row>
    <row r="120" spans="1:8" ht="15" customHeight="1" thickBot="1">
      <c r="A120" s="455"/>
      <c r="B120" s="164"/>
      <c r="C120" s="313" t="s">
        <v>393</v>
      </c>
      <c r="D120" s="489">
        <v>2</v>
      </c>
      <c r="E120" s="490" t="s">
        <v>69</v>
      </c>
      <c r="F120" s="491">
        <v>3000</v>
      </c>
      <c r="G120" s="491">
        <f t="shared" si="8"/>
        <v>6000</v>
      </c>
      <c r="H120" s="547"/>
    </row>
    <row r="121" spans="1:8" ht="15" customHeight="1" thickBot="1">
      <c r="A121" s="455"/>
      <c r="B121" s="164"/>
      <c r="C121" s="313" t="s">
        <v>556</v>
      </c>
      <c r="D121" s="489">
        <v>40</v>
      </c>
      <c r="E121" s="490" t="s">
        <v>45</v>
      </c>
      <c r="F121" s="491">
        <v>200</v>
      </c>
      <c r="G121" s="491">
        <f t="shared" si="8"/>
        <v>8000</v>
      </c>
      <c r="H121" s="547"/>
    </row>
    <row r="122" spans="1:8" ht="16" customHeight="1" thickBot="1">
      <c r="A122" s="455"/>
      <c r="B122" s="164"/>
      <c r="C122" s="313" t="s">
        <v>394</v>
      </c>
      <c r="D122" s="489">
        <v>3</v>
      </c>
      <c r="E122" s="490" t="s">
        <v>69</v>
      </c>
      <c r="F122" s="491">
        <v>750</v>
      </c>
      <c r="G122" s="491">
        <f t="shared" si="8"/>
        <v>2250</v>
      </c>
      <c r="H122" s="547"/>
    </row>
    <row r="123" spans="1:8" ht="19.5" customHeight="1" thickBot="1">
      <c r="A123" s="455"/>
      <c r="B123" s="33"/>
      <c r="C123" s="311"/>
      <c r="D123" s="525"/>
      <c r="E123" s="526"/>
      <c r="F123" s="531"/>
      <c r="G123" s="528"/>
      <c r="H123" s="529">
        <f>SUM(G116:G123)</f>
        <v>70750</v>
      </c>
    </row>
    <row r="124" spans="1:8" ht="15" customHeight="1">
      <c r="A124" s="457"/>
      <c r="B124" s="164"/>
      <c r="C124" s="305"/>
      <c r="D124" s="509"/>
      <c r="E124" s="530"/>
      <c r="F124" s="511"/>
      <c r="G124" s="512"/>
      <c r="H124" s="513"/>
    </row>
    <row r="125" spans="1:8" ht="19.5" customHeight="1" thickBot="1">
      <c r="A125" s="458">
        <v>5500</v>
      </c>
      <c r="B125" s="163" t="s">
        <v>3</v>
      </c>
      <c r="C125" s="305"/>
      <c r="D125" s="509"/>
      <c r="E125" s="530"/>
      <c r="F125" s="511"/>
      <c r="G125" s="512"/>
      <c r="H125" s="513"/>
    </row>
    <row r="126" spans="1:8" ht="22.15" customHeight="1" thickBot="1">
      <c r="A126" s="455"/>
      <c r="B126" s="164"/>
      <c r="C126" s="312" t="s">
        <v>335</v>
      </c>
      <c r="D126" s="537">
        <v>1</v>
      </c>
      <c r="E126" s="538" t="s">
        <v>42</v>
      </c>
      <c r="F126" s="542">
        <v>5000</v>
      </c>
      <c r="G126" s="491">
        <f t="shared" ref="G126" si="9">ROUND(SUM(D126)*F126,0)</f>
        <v>5000</v>
      </c>
      <c r="H126" s="513"/>
    </row>
    <row r="127" spans="1:8" ht="15" customHeight="1" thickBot="1">
      <c r="A127" s="455"/>
      <c r="B127" s="164"/>
      <c r="C127" s="313" t="s">
        <v>543</v>
      </c>
      <c r="D127" s="489">
        <v>1100</v>
      </c>
      <c r="E127" s="490" t="s">
        <v>45</v>
      </c>
      <c r="F127" s="491">
        <v>18</v>
      </c>
      <c r="G127" s="491">
        <f t="shared" ref="G127" si="10">ROUND(SUM(D127)*F127,0)</f>
        <v>19800</v>
      </c>
      <c r="H127" s="547"/>
    </row>
    <row r="128" spans="1:8" ht="19.5" customHeight="1" thickBot="1">
      <c r="A128" s="455"/>
      <c r="B128" s="33"/>
      <c r="C128" s="311"/>
      <c r="D128" s="525"/>
      <c r="E128" s="526"/>
      <c r="F128" s="531"/>
      <c r="G128" s="528"/>
      <c r="H128" s="529">
        <f>SUM(G125:G128)</f>
        <v>24800</v>
      </c>
    </row>
    <row r="129" spans="1:8" ht="15" customHeight="1">
      <c r="A129" s="457"/>
      <c r="B129" s="163"/>
      <c r="C129" s="305"/>
      <c r="D129" s="509"/>
      <c r="E129" s="530"/>
      <c r="F129" s="511"/>
      <c r="G129" s="512"/>
      <c r="H129" s="513"/>
    </row>
    <row r="130" spans="1:8" ht="20.25" customHeight="1" thickBot="1">
      <c r="A130" s="458">
        <v>6400</v>
      </c>
      <c r="B130" s="163" t="s">
        <v>72</v>
      </c>
      <c r="C130" s="305"/>
      <c r="D130" s="509"/>
      <c r="E130" s="510"/>
      <c r="F130" s="511"/>
      <c r="G130" s="512" t="s">
        <v>71</v>
      </c>
      <c r="H130" s="513"/>
    </row>
    <row r="131" spans="1:8" ht="15" customHeight="1" thickBot="1">
      <c r="A131" s="455"/>
      <c r="B131" s="166"/>
      <c r="C131" s="312" t="s">
        <v>298</v>
      </c>
      <c r="D131" s="537"/>
      <c r="E131" s="538"/>
      <c r="F131" s="491"/>
      <c r="G131" s="542"/>
      <c r="H131" s="548" t="s">
        <v>601</v>
      </c>
    </row>
    <row r="132" spans="1:8" ht="15" customHeight="1" thickBot="1">
      <c r="A132" s="455"/>
      <c r="B132" s="166"/>
      <c r="C132" s="312" t="s">
        <v>299</v>
      </c>
      <c r="D132" s="537"/>
      <c r="E132" s="538"/>
      <c r="F132" s="491"/>
      <c r="G132" s="542"/>
      <c r="H132" s="548" t="s">
        <v>601</v>
      </c>
    </row>
    <row r="133" spans="1:8" ht="15" customHeight="1" thickBot="1">
      <c r="A133" s="455"/>
      <c r="B133" s="166"/>
      <c r="C133" s="313" t="s">
        <v>532</v>
      </c>
      <c r="D133" s="489">
        <v>1</v>
      </c>
      <c r="E133" s="490" t="s">
        <v>42</v>
      </c>
      <c r="F133" s="491">
        <v>7500</v>
      </c>
      <c r="G133" s="491">
        <f>+F133*D133</f>
        <v>7500</v>
      </c>
      <c r="H133" s="547" t="s">
        <v>599</v>
      </c>
    </row>
    <row r="134" spans="1:8" ht="15" customHeight="1" thickBot="1">
      <c r="A134" s="455"/>
      <c r="B134" s="166"/>
      <c r="C134" s="313" t="s">
        <v>300</v>
      </c>
      <c r="D134" s="489"/>
      <c r="E134" s="490"/>
      <c r="F134" s="491"/>
      <c r="G134" s="491"/>
      <c r="H134" s="548" t="s">
        <v>602</v>
      </c>
    </row>
    <row r="135" spans="1:8" ht="15" customHeight="1" thickBot="1">
      <c r="A135" s="455"/>
      <c r="B135" s="166"/>
      <c r="C135" s="313" t="s">
        <v>277</v>
      </c>
      <c r="D135" s="489"/>
      <c r="E135" s="490"/>
      <c r="F135" s="491"/>
      <c r="G135" s="491"/>
      <c r="H135" s="548" t="s">
        <v>602</v>
      </c>
    </row>
    <row r="136" spans="1:8" ht="16.899999999999999" customHeight="1" thickBot="1">
      <c r="A136" s="455"/>
      <c r="B136" s="166"/>
      <c r="C136" s="313" t="s">
        <v>280</v>
      </c>
      <c r="D136" s="489"/>
      <c r="E136" s="490"/>
      <c r="F136" s="491"/>
      <c r="G136" s="491"/>
      <c r="H136" s="548" t="s">
        <v>602</v>
      </c>
    </row>
    <row r="137" spans="1:8" ht="15" customHeight="1" thickBot="1">
      <c r="A137" s="455"/>
      <c r="B137" s="166"/>
      <c r="C137" s="313" t="s">
        <v>281</v>
      </c>
      <c r="D137" s="489"/>
      <c r="E137" s="490"/>
      <c r="F137" s="491"/>
      <c r="G137" s="491"/>
      <c r="H137" s="548" t="s">
        <v>602</v>
      </c>
    </row>
    <row r="138" spans="1:8" ht="15" customHeight="1" thickBot="1">
      <c r="A138" s="455"/>
      <c r="B138" s="166"/>
      <c r="C138" s="313" t="s">
        <v>282</v>
      </c>
      <c r="D138" s="489"/>
      <c r="E138" s="490"/>
      <c r="F138" s="491"/>
      <c r="G138" s="491"/>
      <c r="H138" s="548" t="s">
        <v>602</v>
      </c>
    </row>
    <row r="139" spans="1:8" ht="15" customHeight="1" thickBot="1">
      <c r="A139" s="455"/>
      <c r="B139" s="166"/>
      <c r="C139" s="313" t="s">
        <v>283</v>
      </c>
      <c r="D139" s="489"/>
      <c r="E139" s="490"/>
      <c r="F139" s="491"/>
      <c r="G139" s="491"/>
      <c r="H139" s="548" t="s">
        <v>602</v>
      </c>
    </row>
    <row r="140" spans="1:8" ht="15" customHeight="1" thickBot="1">
      <c r="A140" s="455"/>
      <c r="B140" s="166"/>
      <c r="C140" s="313" t="s">
        <v>301</v>
      </c>
      <c r="D140" s="489"/>
      <c r="E140" s="490"/>
      <c r="F140" s="491"/>
      <c r="G140" s="491"/>
      <c r="H140" s="548" t="s">
        <v>602</v>
      </c>
    </row>
    <row r="141" spans="1:8" ht="15" customHeight="1" thickBot="1">
      <c r="A141" s="455"/>
      <c r="B141" s="166"/>
      <c r="C141" s="313" t="s">
        <v>284</v>
      </c>
      <c r="D141" s="489">
        <v>23</v>
      </c>
      <c r="E141" s="490" t="s">
        <v>45</v>
      </c>
      <c r="F141" s="491">
        <v>400</v>
      </c>
      <c r="G141" s="491">
        <f t="shared" ref="G141:G142" si="11">ROUND(SUM(D141)*F141,0)</f>
        <v>9200</v>
      </c>
      <c r="H141" s="547" t="s">
        <v>599</v>
      </c>
    </row>
    <row r="142" spans="1:8" ht="15" customHeight="1" thickBot="1">
      <c r="A142" s="455"/>
      <c r="B142" s="166"/>
      <c r="C142" s="313" t="s">
        <v>600</v>
      </c>
      <c r="D142" s="489">
        <v>17</v>
      </c>
      <c r="E142" s="490" t="s">
        <v>45</v>
      </c>
      <c r="F142" s="491">
        <v>950</v>
      </c>
      <c r="G142" s="491">
        <f t="shared" si="11"/>
        <v>16150</v>
      </c>
      <c r="H142" s="547" t="s">
        <v>599</v>
      </c>
    </row>
    <row r="143" spans="1:8" ht="15" customHeight="1" thickBot="1">
      <c r="A143" s="455"/>
      <c r="B143" s="166"/>
      <c r="C143" s="488" t="s">
        <v>598</v>
      </c>
      <c r="D143" s="489"/>
      <c r="E143" s="490"/>
      <c r="F143" s="491"/>
      <c r="G143" s="491"/>
      <c r="H143" s="548" t="s">
        <v>602</v>
      </c>
    </row>
    <row r="144" spans="1:8" ht="15" customHeight="1" thickBot="1">
      <c r="A144" s="455"/>
      <c r="B144" s="166"/>
      <c r="C144" s="312" t="s">
        <v>274</v>
      </c>
      <c r="D144" s="537">
        <v>1</v>
      </c>
      <c r="E144" s="538" t="s">
        <v>69</v>
      </c>
      <c r="F144" s="542">
        <v>15000</v>
      </c>
      <c r="G144" s="542">
        <f>ROUND(SUM(D144)*F144,0)</f>
        <v>15000</v>
      </c>
      <c r="H144" s="547" t="s">
        <v>599</v>
      </c>
    </row>
    <row r="145" spans="1:8" ht="18.399999999999999" customHeight="1" thickBot="1">
      <c r="A145" s="455"/>
      <c r="B145" s="166"/>
      <c r="C145" s="312" t="s">
        <v>489</v>
      </c>
      <c r="D145" s="489">
        <v>1</v>
      </c>
      <c r="E145" s="490" t="s">
        <v>69</v>
      </c>
      <c r="F145" s="491">
        <v>6500</v>
      </c>
      <c r="G145" s="491">
        <f>ROUND(SUM(D145)*F145,0)</f>
        <v>6500</v>
      </c>
      <c r="H145" s="547" t="s">
        <v>599</v>
      </c>
    </row>
    <row r="146" spans="1:8" ht="19.5" customHeight="1" thickBot="1">
      <c r="A146" s="455"/>
      <c r="B146" s="33"/>
      <c r="C146" s="311"/>
      <c r="D146" s="525"/>
      <c r="E146" s="526"/>
      <c r="F146" s="531"/>
      <c r="G146" s="528"/>
      <c r="H146" s="529">
        <f>SUM(G130:G146)</f>
        <v>54350</v>
      </c>
    </row>
    <row r="147" spans="1:8" ht="19.5" customHeight="1" thickBot="1">
      <c r="A147" s="457">
        <v>6500</v>
      </c>
      <c r="B147" s="166" t="s">
        <v>336</v>
      </c>
      <c r="C147" s="305"/>
      <c r="D147" s="509"/>
      <c r="E147" s="530"/>
      <c r="F147" s="511"/>
      <c r="G147" s="512" t="s">
        <v>71</v>
      </c>
      <c r="H147" s="513"/>
    </row>
    <row r="148" spans="1:8" ht="19.5" customHeight="1" thickTop="1" thickBot="1">
      <c r="A148" s="455"/>
      <c r="B148" s="166"/>
      <c r="C148" s="358" t="s">
        <v>405</v>
      </c>
      <c r="D148" s="418"/>
      <c r="E148" s="419"/>
      <c r="F148" s="420"/>
      <c r="G148" s="420"/>
      <c r="H148" s="517"/>
    </row>
    <row r="149" spans="1:8" ht="20.65" customHeight="1" thickTop="1" thickBot="1">
      <c r="A149" s="455"/>
      <c r="B149" s="166"/>
      <c r="C149" s="309" t="s">
        <v>325</v>
      </c>
      <c r="D149" s="418">
        <v>1100</v>
      </c>
      <c r="E149" s="419" t="s">
        <v>46</v>
      </c>
      <c r="F149" s="420">
        <v>65</v>
      </c>
      <c r="G149" s="420">
        <f t="shared" ref="G149:G152" si="12">ROUND(SUM(D149)*F149,0)</f>
        <v>71500</v>
      </c>
      <c r="H149" s="517"/>
    </row>
    <row r="150" spans="1:8" ht="20.65" customHeight="1" thickTop="1" thickBot="1">
      <c r="A150" s="455"/>
      <c r="B150" s="166"/>
      <c r="C150" s="309" t="s">
        <v>557</v>
      </c>
      <c r="D150" s="418">
        <f>+D151-D149</f>
        <v>2120</v>
      </c>
      <c r="E150" s="419" t="s">
        <v>46</v>
      </c>
      <c r="F150" s="420">
        <v>65</v>
      </c>
      <c r="G150" s="420">
        <f t="shared" si="12"/>
        <v>137800</v>
      </c>
      <c r="H150" s="517"/>
    </row>
    <row r="151" spans="1:8" ht="16.149999999999999" customHeight="1" thickTop="1" thickBot="1">
      <c r="A151" s="455"/>
      <c r="B151" s="166"/>
      <c r="C151" s="309" t="s">
        <v>558</v>
      </c>
      <c r="D151" s="418">
        <f>770+750+850+850</f>
        <v>3220</v>
      </c>
      <c r="E151" s="419" t="s">
        <v>46</v>
      </c>
      <c r="F151" s="420">
        <v>8</v>
      </c>
      <c r="G151" s="420">
        <f t="shared" si="12"/>
        <v>25760</v>
      </c>
      <c r="H151" s="517"/>
    </row>
    <row r="152" spans="1:8" ht="19.5" customHeight="1" thickTop="1" thickBot="1">
      <c r="A152" s="455"/>
      <c r="B152" s="166"/>
      <c r="C152" s="331" t="s">
        <v>559</v>
      </c>
      <c r="D152" s="549">
        <v>4</v>
      </c>
      <c r="E152" s="549" t="s">
        <v>240</v>
      </c>
      <c r="F152" s="549">
        <v>750</v>
      </c>
      <c r="G152" s="420">
        <f t="shared" si="12"/>
        <v>3000</v>
      </c>
      <c r="H152" s="513"/>
    </row>
    <row r="153" spans="1:8" ht="19.5" customHeight="1" thickBot="1">
      <c r="A153" s="455"/>
      <c r="B153" s="166"/>
      <c r="C153" s="363" t="s">
        <v>402</v>
      </c>
      <c r="D153" s="549"/>
      <c r="E153" s="549"/>
      <c r="F153" s="549"/>
      <c r="G153" s="549"/>
      <c r="H153" s="513"/>
    </row>
    <row r="154" spans="1:8" ht="19.5" customHeight="1" thickBot="1">
      <c r="A154" s="455"/>
      <c r="B154" s="166"/>
      <c r="C154" s="331" t="s">
        <v>403</v>
      </c>
      <c r="D154" s="549">
        <v>26</v>
      </c>
      <c r="E154" s="549"/>
      <c r="F154" s="549"/>
      <c r="G154" s="491"/>
      <c r="H154" s="513" t="s">
        <v>603</v>
      </c>
    </row>
    <row r="155" spans="1:8" ht="19.5" customHeight="1" thickBot="1">
      <c r="A155" s="455"/>
      <c r="B155" s="166"/>
      <c r="C155" s="331" t="s">
        <v>404</v>
      </c>
      <c r="D155" s="549">
        <v>1</v>
      </c>
      <c r="E155" s="549" t="s">
        <v>42</v>
      </c>
      <c r="F155" s="549">
        <v>8500</v>
      </c>
      <c r="G155" s="491">
        <f t="shared" ref="G155:G157" si="13">ROUND(SUM(D155)*F155,0)</f>
        <v>8500</v>
      </c>
      <c r="H155" s="513"/>
    </row>
    <row r="156" spans="1:8" ht="15" customHeight="1" thickBot="1">
      <c r="A156" s="455"/>
      <c r="B156" s="166"/>
      <c r="C156" s="313" t="s">
        <v>285</v>
      </c>
      <c r="D156" s="489">
        <v>1</v>
      </c>
      <c r="E156" s="490" t="s">
        <v>42</v>
      </c>
      <c r="F156" s="491">
        <v>9000</v>
      </c>
      <c r="G156" s="491">
        <f t="shared" si="13"/>
        <v>9000</v>
      </c>
      <c r="H156" s="547"/>
    </row>
    <row r="157" spans="1:8" ht="15" customHeight="1" thickBot="1">
      <c r="A157" s="455"/>
      <c r="B157" s="166"/>
      <c r="C157" s="313" t="s">
        <v>278</v>
      </c>
      <c r="D157" s="489">
        <v>10</v>
      </c>
      <c r="E157" s="490" t="s">
        <v>69</v>
      </c>
      <c r="F157" s="491">
        <v>750</v>
      </c>
      <c r="G157" s="491">
        <f t="shared" si="13"/>
        <v>7500</v>
      </c>
      <c r="H157" s="547"/>
    </row>
    <row r="158" spans="1:8" ht="19.5" customHeight="1" thickBot="1">
      <c r="A158" s="455"/>
      <c r="B158" s="33"/>
      <c r="C158" s="311"/>
      <c r="D158" s="525"/>
      <c r="E158" s="526"/>
      <c r="F158" s="531"/>
      <c r="G158" s="528"/>
      <c r="H158" s="529">
        <f>SUM(G149:G158)</f>
        <v>263060</v>
      </c>
    </row>
    <row r="159" spans="1:8" ht="15" customHeight="1">
      <c r="A159" s="457"/>
      <c r="B159" s="166"/>
      <c r="C159" s="305"/>
      <c r="D159" s="509"/>
      <c r="E159" s="530"/>
      <c r="F159" s="511"/>
      <c r="G159" s="512"/>
      <c r="H159" s="513"/>
    </row>
    <row r="160" spans="1:8" ht="19.5" customHeight="1" thickBot="1">
      <c r="A160" s="458">
        <v>7500</v>
      </c>
      <c r="B160" s="169" t="s">
        <v>233</v>
      </c>
      <c r="C160" s="305"/>
      <c r="D160" s="509"/>
      <c r="E160" s="510"/>
      <c r="F160" s="511"/>
      <c r="G160" s="512" t="s">
        <v>71</v>
      </c>
      <c r="H160" s="513"/>
    </row>
    <row r="161" spans="1:8" ht="15" customHeight="1" thickBot="1">
      <c r="A161" s="455"/>
      <c r="B161" s="166"/>
      <c r="C161" s="319" t="s">
        <v>302</v>
      </c>
      <c r="D161" s="522">
        <v>965</v>
      </c>
      <c r="E161" s="523" t="s">
        <v>46</v>
      </c>
      <c r="F161" s="524">
        <v>35</v>
      </c>
      <c r="G161" s="524">
        <f t="shared" ref="G161:G163" si="14">ROUND(SUM(D161)*F161,0)</f>
        <v>33775</v>
      </c>
      <c r="H161" s="517"/>
    </row>
    <row r="162" spans="1:8" ht="15" customHeight="1" thickBot="1">
      <c r="A162" s="460"/>
      <c r="B162" s="79"/>
      <c r="C162" s="331" t="s">
        <v>270</v>
      </c>
      <c r="D162" s="550">
        <v>160</v>
      </c>
      <c r="E162" s="551" t="s">
        <v>45</v>
      </c>
      <c r="F162" s="552">
        <v>35</v>
      </c>
      <c r="G162" s="552">
        <f t="shared" si="14"/>
        <v>5600</v>
      </c>
      <c r="H162" s="521"/>
    </row>
    <row r="163" spans="1:8" ht="15" customHeight="1" thickBot="1">
      <c r="A163" s="460"/>
      <c r="B163" s="79"/>
      <c r="C163" s="331" t="s">
        <v>303</v>
      </c>
      <c r="D163" s="550">
        <v>220</v>
      </c>
      <c r="E163" s="551" t="s">
        <v>45</v>
      </c>
      <c r="F163" s="552">
        <v>30</v>
      </c>
      <c r="G163" s="552">
        <f t="shared" si="14"/>
        <v>6600</v>
      </c>
      <c r="H163" s="521"/>
    </row>
    <row r="164" spans="1:8" ht="15" customHeight="1" thickBot="1">
      <c r="A164" s="460"/>
      <c r="B164" s="79"/>
      <c r="C164" s="331" t="s">
        <v>304</v>
      </c>
      <c r="D164" s="550"/>
      <c r="E164" s="551"/>
      <c r="F164" s="552"/>
      <c r="G164" s="552"/>
      <c r="H164" s="521" t="s">
        <v>607</v>
      </c>
    </row>
    <row r="165" spans="1:8" ht="19.5" customHeight="1" thickBot="1">
      <c r="A165" s="455"/>
      <c r="B165" s="33"/>
      <c r="C165" s="308"/>
      <c r="D165" s="525"/>
      <c r="E165" s="526"/>
      <c r="F165" s="527"/>
      <c r="G165" s="528"/>
      <c r="H165" s="529">
        <f>SUM(G160:G165)</f>
        <v>45975</v>
      </c>
    </row>
    <row r="166" spans="1:8" ht="15" customHeight="1">
      <c r="A166" s="457"/>
      <c r="B166" s="163"/>
      <c r="C166" s="305"/>
      <c r="D166" s="509"/>
      <c r="E166" s="530"/>
      <c r="F166" s="511"/>
      <c r="G166" s="512"/>
      <c r="H166" s="513"/>
    </row>
    <row r="167" spans="1:8" ht="20.25" customHeight="1">
      <c r="A167" s="458">
        <v>8110</v>
      </c>
      <c r="B167" s="163" t="s">
        <v>234</v>
      </c>
      <c r="C167" s="305"/>
      <c r="D167" s="509"/>
      <c r="E167" s="510"/>
      <c r="F167" s="511"/>
      <c r="G167" s="512" t="s">
        <v>71</v>
      </c>
      <c r="H167" s="513"/>
    </row>
    <row r="168" spans="1:8" ht="15" customHeight="1" thickBot="1">
      <c r="A168" s="455"/>
      <c r="B168" s="164"/>
      <c r="C168" s="321"/>
      <c r="D168" s="509"/>
      <c r="E168" s="510"/>
      <c r="F168" s="511"/>
      <c r="G168" s="512" t="s">
        <v>71</v>
      </c>
      <c r="H168" s="513"/>
    </row>
    <row r="169" spans="1:8" ht="15" customHeight="1" thickBot="1">
      <c r="A169" s="455"/>
      <c r="B169" s="166"/>
      <c r="C169" s="312" t="s">
        <v>395</v>
      </c>
      <c r="D169" s="537"/>
      <c r="E169" s="538"/>
      <c r="F169" s="542"/>
      <c r="G169" s="542"/>
      <c r="H169" s="513"/>
    </row>
    <row r="170" spans="1:8" ht="18" customHeight="1" thickBot="1">
      <c r="A170" s="455"/>
      <c r="B170" s="166"/>
      <c r="C170" s="360" t="s">
        <v>273</v>
      </c>
      <c r="D170" s="537">
        <v>4</v>
      </c>
      <c r="E170" s="538" t="s">
        <v>69</v>
      </c>
      <c r="F170" s="542">
        <v>6000</v>
      </c>
      <c r="G170" s="542"/>
      <c r="H170" s="513"/>
    </row>
    <row r="171" spans="1:8" ht="18" customHeight="1" thickBot="1">
      <c r="A171" s="455"/>
      <c r="B171" s="166"/>
      <c r="C171" s="360" t="s">
        <v>396</v>
      </c>
      <c r="D171" s="537">
        <v>1</v>
      </c>
      <c r="E171" s="538" t="s">
        <v>397</v>
      </c>
      <c r="F171" s="542">
        <v>8800</v>
      </c>
      <c r="G171" s="542"/>
      <c r="H171" s="513"/>
    </row>
    <row r="172" spans="1:8" ht="18" customHeight="1" thickBot="1">
      <c r="A172" s="455"/>
      <c r="B172" s="166"/>
      <c r="C172" s="360" t="s">
        <v>398</v>
      </c>
      <c r="D172" s="537">
        <v>1</v>
      </c>
      <c r="E172" s="538" t="s">
        <v>397</v>
      </c>
      <c r="F172" s="542">
        <v>8800</v>
      </c>
      <c r="G172" s="542"/>
      <c r="H172" s="513"/>
    </row>
    <row r="173" spans="1:8" ht="15" customHeight="1" thickBot="1">
      <c r="A173" s="455"/>
      <c r="B173" s="166"/>
      <c r="C173" s="360" t="s">
        <v>305</v>
      </c>
      <c r="D173" s="537">
        <v>2</v>
      </c>
      <c r="E173" s="538" t="s">
        <v>69</v>
      </c>
      <c r="F173" s="542">
        <v>6000</v>
      </c>
      <c r="G173" s="542"/>
      <c r="H173" s="513"/>
    </row>
    <row r="174" spans="1:8" ht="15" customHeight="1" thickBot="1">
      <c r="A174" s="455"/>
      <c r="B174" s="166"/>
      <c r="C174" s="360" t="s">
        <v>276</v>
      </c>
      <c r="D174" s="537"/>
      <c r="E174" s="538"/>
      <c r="F174" s="542"/>
      <c r="G174" s="542"/>
      <c r="H174" s="513"/>
    </row>
    <row r="175" spans="1:8" ht="15" customHeight="1" thickBot="1">
      <c r="A175" s="455"/>
      <c r="B175" s="166"/>
      <c r="C175" s="362" t="s">
        <v>399</v>
      </c>
      <c r="D175" s="537">
        <v>1</v>
      </c>
      <c r="E175" s="538" t="s">
        <v>69</v>
      </c>
      <c r="F175" s="542">
        <v>9000</v>
      </c>
      <c r="G175" s="542"/>
      <c r="H175" s="513"/>
    </row>
    <row r="176" spans="1:8" ht="15" customHeight="1" thickBot="1">
      <c r="A176" s="455"/>
      <c r="B176" s="166"/>
      <c r="C176" s="362" t="s">
        <v>400</v>
      </c>
      <c r="D176" s="537">
        <v>1</v>
      </c>
      <c r="E176" s="538" t="s">
        <v>397</v>
      </c>
      <c r="F176" s="542">
        <v>13500</v>
      </c>
      <c r="G176" s="542"/>
      <c r="H176" s="513"/>
    </row>
    <row r="177" spans="1:9" ht="15" customHeight="1" thickBot="1">
      <c r="A177" s="455"/>
      <c r="B177" s="166"/>
      <c r="C177" s="362" t="s">
        <v>401</v>
      </c>
      <c r="D177" s="537"/>
      <c r="E177" s="538"/>
      <c r="F177" s="542"/>
      <c r="G177" s="542"/>
      <c r="H177" s="513"/>
    </row>
    <row r="178" spans="1:9" ht="15" customHeight="1" thickBot="1">
      <c r="A178" s="455"/>
      <c r="B178" s="166"/>
      <c r="C178" s="360" t="s">
        <v>487</v>
      </c>
      <c r="D178" s="537">
        <v>7</v>
      </c>
      <c r="E178" s="538" t="s">
        <v>69</v>
      </c>
      <c r="F178" s="542">
        <v>6500</v>
      </c>
      <c r="G178" s="542"/>
      <c r="H178" s="513"/>
    </row>
    <row r="179" spans="1:9" ht="33.6" customHeight="1" thickBot="1">
      <c r="A179" s="455"/>
      <c r="B179" s="166"/>
      <c r="C179" s="361" t="s">
        <v>306</v>
      </c>
      <c r="D179" s="537">
        <v>5</v>
      </c>
      <c r="E179" s="538" t="s">
        <v>275</v>
      </c>
      <c r="F179" s="542">
        <v>13100</v>
      </c>
      <c r="G179" s="542"/>
      <c r="H179" s="513"/>
      <c r="I179">
        <f>SUM(G170:G179)</f>
        <v>0</v>
      </c>
    </row>
    <row r="180" spans="1:9" ht="20.25" customHeight="1" thickBot="1">
      <c r="A180" s="455"/>
      <c r="B180" s="33"/>
      <c r="C180" s="308"/>
      <c r="D180" s="525"/>
      <c r="E180" s="526"/>
      <c r="F180" s="527"/>
      <c r="G180" s="528"/>
      <c r="H180" s="529" t="s">
        <v>593</v>
      </c>
    </row>
    <row r="181" spans="1:9" ht="15" customHeight="1">
      <c r="A181" s="457"/>
      <c r="B181" s="164"/>
      <c r="C181" s="305"/>
      <c r="D181" s="509"/>
      <c r="E181" s="530"/>
      <c r="F181" s="511"/>
      <c r="G181" s="512"/>
      <c r="H181" s="513"/>
    </row>
    <row r="182" spans="1:9" ht="19.5" customHeight="1" thickBot="1">
      <c r="A182" s="458">
        <v>8520</v>
      </c>
      <c r="B182" s="163" t="s">
        <v>235</v>
      </c>
      <c r="C182" s="305"/>
      <c r="D182" s="509"/>
      <c r="E182" s="510"/>
      <c r="F182" s="511"/>
      <c r="G182" s="512" t="s">
        <v>71</v>
      </c>
      <c r="H182" s="513"/>
    </row>
    <row r="183" spans="1:9" ht="37" customHeight="1" thickTop="1" thickBot="1">
      <c r="A183" s="455"/>
      <c r="B183" s="164"/>
      <c r="C183" s="646" t="s">
        <v>682</v>
      </c>
      <c r="D183" s="418">
        <v>10</v>
      </c>
      <c r="E183" s="419" t="s">
        <v>239</v>
      </c>
      <c r="F183" s="420">
        <v>4500</v>
      </c>
      <c r="G183" s="420">
        <f>ROUND(SUM(D183)*F183,0)</f>
        <v>45000</v>
      </c>
      <c r="H183" s="517"/>
    </row>
    <row r="184" spans="1:9" ht="19.5" customHeight="1" thickTop="1" thickBot="1">
      <c r="A184" s="455"/>
      <c r="B184" s="33"/>
      <c r="C184" s="308"/>
      <c r="D184" s="525"/>
      <c r="E184" s="526"/>
      <c r="F184" s="527"/>
      <c r="G184" s="528"/>
      <c r="H184" s="529">
        <f>SUM(G182:G184)</f>
        <v>45000</v>
      </c>
    </row>
    <row r="185" spans="1:9" ht="15" customHeight="1">
      <c r="A185" s="457"/>
      <c r="B185" s="164"/>
      <c r="C185" s="305"/>
      <c r="D185" s="509"/>
      <c r="E185" s="530"/>
      <c r="F185" s="511"/>
      <c r="G185" s="512"/>
      <c r="H185" s="513"/>
    </row>
    <row r="186" spans="1:9" ht="20.25" customHeight="1" thickBot="1">
      <c r="A186" s="458">
        <v>8800</v>
      </c>
      <c r="B186" s="163" t="s">
        <v>73</v>
      </c>
      <c r="C186" s="305"/>
      <c r="D186" s="509"/>
      <c r="E186" s="510"/>
      <c r="F186" s="511"/>
      <c r="G186" s="512" t="s">
        <v>71</v>
      </c>
      <c r="H186" s="513"/>
    </row>
    <row r="187" spans="1:9" ht="15" customHeight="1" thickBot="1">
      <c r="A187" s="460"/>
      <c r="B187" s="79"/>
      <c r="C187" s="488" t="s">
        <v>681</v>
      </c>
      <c r="D187" s="489">
        <v>1</v>
      </c>
      <c r="E187" s="490" t="s">
        <v>239</v>
      </c>
      <c r="F187" s="491">
        <v>5000</v>
      </c>
      <c r="G187" s="491">
        <f t="shared" ref="G187:G188" si="15">ROUND(SUM(D187)*F187,0)</f>
        <v>5000</v>
      </c>
      <c r="H187" s="547"/>
    </row>
    <row r="188" spans="1:9" ht="15" customHeight="1" thickBot="1">
      <c r="A188" s="460"/>
      <c r="B188" s="79"/>
      <c r="C188" s="313" t="s">
        <v>332</v>
      </c>
      <c r="D188" s="489">
        <v>80</v>
      </c>
      <c r="E188" s="490" t="s">
        <v>46</v>
      </c>
      <c r="F188" s="491">
        <v>90</v>
      </c>
      <c r="G188" s="491">
        <f t="shared" si="15"/>
        <v>7200</v>
      </c>
      <c r="H188" s="547"/>
    </row>
    <row r="189" spans="1:9" ht="20.25" customHeight="1" thickBot="1">
      <c r="A189" s="455"/>
      <c r="B189" s="33"/>
      <c r="C189" s="308"/>
      <c r="D189" s="525"/>
      <c r="E189" s="526"/>
      <c r="F189" s="527"/>
      <c r="G189" s="528"/>
      <c r="H189" s="529">
        <f>SUM(G186:G189)</f>
        <v>12200</v>
      </c>
    </row>
    <row r="190" spans="1:9" ht="15" customHeight="1">
      <c r="A190" s="457"/>
      <c r="B190" s="164"/>
      <c r="C190" s="305"/>
      <c r="D190" s="509"/>
      <c r="E190" s="530"/>
      <c r="F190" s="511"/>
      <c r="G190" s="512"/>
      <c r="H190" s="513"/>
    </row>
    <row r="191" spans="1:9" ht="21" customHeight="1">
      <c r="A191" s="458">
        <v>8810</v>
      </c>
      <c r="B191" s="163" t="s">
        <v>4</v>
      </c>
      <c r="C191" s="305"/>
      <c r="D191" s="509"/>
      <c r="E191" s="510"/>
      <c r="F191" s="511"/>
      <c r="G191" s="512" t="s">
        <v>71</v>
      </c>
      <c r="H191" s="513"/>
    </row>
    <row r="192" spans="1:9" ht="20.25" customHeight="1" thickBot="1">
      <c r="A192" s="455"/>
      <c r="B192" s="33"/>
      <c r="C192" s="308"/>
      <c r="D192" s="525"/>
      <c r="E192" s="526"/>
      <c r="F192" s="527"/>
      <c r="G192" s="528"/>
      <c r="H192" s="553" t="s">
        <v>592</v>
      </c>
    </row>
    <row r="193" spans="1:9" ht="15" customHeight="1">
      <c r="A193" s="457"/>
      <c r="B193" s="164"/>
      <c r="C193" s="305"/>
      <c r="D193" s="509"/>
      <c r="E193" s="530"/>
      <c r="F193" s="511"/>
      <c r="G193" s="512"/>
      <c r="H193" s="513"/>
    </row>
    <row r="194" spans="1:9" ht="21" customHeight="1" thickBot="1">
      <c r="A194" s="458">
        <v>8900</v>
      </c>
      <c r="B194" s="163" t="s">
        <v>261</v>
      </c>
      <c r="C194" s="305"/>
      <c r="D194" s="509"/>
      <c r="E194" s="510"/>
      <c r="F194" s="511"/>
      <c r="G194" s="512" t="s">
        <v>71</v>
      </c>
      <c r="H194" s="513"/>
    </row>
    <row r="195" spans="1:9" ht="22.15" customHeight="1" thickTop="1" thickBot="1">
      <c r="A195" s="455"/>
      <c r="B195" s="164"/>
      <c r="C195" s="309" t="s">
        <v>563</v>
      </c>
      <c r="D195" s="418">
        <v>200</v>
      </c>
      <c r="E195" s="419" t="s">
        <v>46</v>
      </c>
      <c r="F195" s="420">
        <v>425</v>
      </c>
      <c r="G195" s="420"/>
      <c r="H195" s="517"/>
    </row>
    <row r="196" spans="1:9" ht="22.15" customHeight="1" thickTop="1" thickBot="1">
      <c r="A196" s="455"/>
      <c r="B196" s="164"/>
      <c r="C196" s="309" t="s">
        <v>484</v>
      </c>
      <c r="D196" s="418">
        <v>200</v>
      </c>
      <c r="E196" s="419" t="s">
        <v>46</v>
      </c>
      <c r="F196" s="420">
        <v>425</v>
      </c>
      <c r="G196" s="420"/>
      <c r="H196" s="517"/>
    </row>
    <row r="197" spans="1:9" ht="29.5" customHeight="1" thickTop="1" thickBot="1">
      <c r="A197" s="455"/>
      <c r="B197" s="164"/>
      <c r="C197" s="309" t="s">
        <v>483</v>
      </c>
      <c r="D197" s="418">
        <v>200</v>
      </c>
      <c r="E197" s="419" t="s">
        <v>46</v>
      </c>
      <c r="F197" s="420">
        <v>425</v>
      </c>
      <c r="G197" s="420"/>
      <c r="H197" s="547"/>
    </row>
    <row r="198" spans="1:9" ht="15" customHeight="1" thickTop="1" thickBot="1">
      <c r="A198" s="455"/>
      <c r="B198" s="164"/>
      <c r="C198" s="309" t="s">
        <v>564</v>
      </c>
      <c r="D198" s="418">
        <v>6</v>
      </c>
      <c r="E198" s="419" t="s">
        <v>69</v>
      </c>
      <c r="F198" s="420">
        <v>5500</v>
      </c>
      <c r="G198" s="420"/>
      <c r="H198" s="547"/>
    </row>
    <row r="199" spans="1:9" ht="20.25" customHeight="1" thickTop="1" thickBot="1">
      <c r="A199" s="455"/>
      <c r="B199" s="33"/>
      <c r="C199" s="308"/>
      <c r="D199" s="525"/>
      <c r="E199" s="526"/>
      <c r="F199" s="527"/>
      <c r="G199" s="528"/>
      <c r="H199" s="553" t="s">
        <v>592</v>
      </c>
      <c r="I199">
        <f>SUM(G193:G199)</f>
        <v>0</v>
      </c>
    </row>
    <row r="200" spans="1:9" ht="15" customHeight="1">
      <c r="A200" s="457"/>
      <c r="B200" s="164"/>
      <c r="C200" s="305"/>
      <c r="D200" s="509"/>
      <c r="E200" s="530"/>
      <c r="F200" s="511"/>
      <c r="G200" s="512"/>
      <c r="H200" s="513"/>
    </row>
    <row r="201" spans="1:9" ht="19.5" customHeight="1" thickBot="1">
      <c r="A201" s="458">
        <v>9250</v>
      </c>
      <c r="B201" s="163" t="s">
        <v>47</v>
      </c>
      <c r="C201" s="305"/>
      <c r="D201" s="509"/>
      <c r="E201" s="510"/>
      <c r="F201" s="511"/>
      <c r="G201" s="512" t="s">
        <v>71</v>
      </c>
      <c r="H201" s="513"/>
    </row>
    <row r="202" spans="1:9" ht="36.6" customHeight="1" thickTop="1" thickBot="1">
      <c r="A202" s="455"/>
      <c r="B202" s="166"/>
      <c r="C202" s="309" t="s">
        <v>265</v>
      </c>
      <c r="D202" s="418">
        <f>135*60</f>
        <v>8100</v>
      </c>
      <c r="E202" s="419" t="s">
        <v>46</v>
      </c>
      <c r="F202" s="420">
        <v>12</v>
      </c>
      <c r="G202" s="420">
        <f t="shared" ref="G202:G211" si="16">ROUND(SUM(D202)*F202,0)</f>
        <v>97200</v>
      </c>
      <c r="H202" s="517"/>
    </row>
    <row r="203" spans="1:9" ht="15" customHeight="1" thickTop="1" thickBot="1">
      <c r="A203" s="455"/>
      <c r="B203" s="166"/>
      <c r="C203" s="309" t="s">
        <v>262</v>
      </c>
      <c r="D203" s="418">
        <f>+(965*3)+850+850</f>
        <v>4595</v>
      </c>
      <c r="E203" s="419" t="s">
        <v>46</v>
      </c>
      <c r="F203" s="420">
        <v>12</v>
      </c>
      <c r="G203" s="420">
        <f t="shared" si="16"/>
        <v>55140</v>
      </c>
      <c r="H203" s="517"/>
    </row>
    <row r="204" spans="1:9" ht="15" customHeight="1" thickTop="1" thickBot="1">
      <c r="A204" s="455"/>
      <c r="B204" s="166"/>
      <c r="C204" s="309" t="s">
        <v>266</v>
      </c>
      <c r="D204" s="418">
        <f>500+400+750+1000</f>
        <v>2650</v>
      </c>
      <c r="E204" s="419" t="s">
        <v>46</v>
      </c>
      <c r="F204" s="420">
        <v>10</v>
      </c>
      <c r="G204" s="420">
        <f t="shared" si="16"/>
        <v>26500</v>
      </c>
      <c r="H204" s="517"/>
    </row>
    <row r="205" spans="1:9" ht="15" customHeight="1" thickTop="1" thickBot="1">
      <c r="A205" s="455"/>
      <c r="B205" s="166"/>
      <c r="C205" s="309" t="s">
        <v>267</v>
      </c>
      <c r="D205" s="418">
        <v>1</v>
      </c>
      <c r="E205" s="419" t="s">
        <v>42</v>
      </c>
      <c r="F205" s="420">
        <v>8500</v>
      </c>
      <c r="G205" s="420">
        <f t="shared" si="16"/>
        <v>8500</v>
      </c>
      <c r="H205" s="517"/>
    </row>
    <row r="206" spans="1:9" ht="15" customHeight="1" thickTop="1" thickBot="1">
      <c r="A206" s="455"/>
      <c r="B206" s="166"/>
      <c r="C206" s="309" t="s">
        <v>268</v>
      </c>
      <c r="D206" s="418">
        <v>24</v>
      </c>
      <c r="E206" s="419" t="s">
        <v>69</v>
      </c>
      <c r="F206" s="420">
        <v>150</v>
      </c>
      <c r="G206" s="420">
        <f t="shared" si="16"/>
        <v>3600</v>
      </c>
      <c r="H206" s="517"/>
    </row>
    <row r="207" spans="1:9" ht="15" customHeight="1" thickTop="1" thickBot="1">
      <c r="A207" s="455"/>
      <c r="B207" s="166"/>
      <c r="C207" s="309" t="s">
        <v>264</v>
      </c>
      <c r="D207" s="418">
        <v>92</v>
      </c>
      <c r="E207" s="419" t="s">
        <v>45</v>
      </c>
      <c r="F207" s="420">
        <v>8</v>
      </c>
      <c r="G207" s="420">
        <f t="shared" si="16"/>
        <v>736</v>
      </c>
      <c r="H207" s="517"/>
    </row>
    <row r="208" spans="1:9" ht="15" customHeight="1" thickTop="1" thickBot="1">
      <c r="A208" s="455"/>
      <c r="B208" s="166"/>
      <c r="C208" s="309" t="s">
        <v>286</v>
      </c>
      <c r="D208" s="418">
        <f>6*75</f>
        <v>450</v>
      </c>
      <c r="E208" s="419" t="s">
        <v>46</v>
      </c>
      <c r="F208" s="420">
        <v>28</v>
      </c>
      <c r="G208" s="420">
        <f t="shared" si="16"/>
        <v>12600</v>
      </c>
      <c r="H208" s="517"/>
    </row>
    <row r="209" spans="1:9" ht="15" customHeight="1" thickTop="1" thickBot="1">
      <c r="A209" s="461"/>
      <c r="B209" s="170"/>
      <c r="C209" s="309" t="s">
        <v>524</v>
      </c>
      <c r="D209" s="418">
        <v>14</v>
      </c>
      <c r="E209" s="419" t="s">
        <v>69</v>
      </c>
      <c r="F209" s="420">
        <v>300</v>
      </c>
      <c r="G209" s="420">
        <f t="shared" si="16"/>
        <v>4200</v>
      </c>
      <c r="H209" s="517"/>
    </row>
    <row r="210" spans="1:9" ht="15" customHeight="1" thickTop="1" thickBot="1">
      <c r="A210" s="455"/>
      <c r="B210" s="166"/>
      <c r="C210" s="309" t="s">
        <v>307</v>
      </c>
      <c r="D210" s="418">
        <v>1</v>
      </c>
      <c r="E210" s="419" t="s">
        <v>42</v>
      </c>
      <c r="F210" s="420">
        <v>2500</v>
      </c>
      <c r="G210" s="420">
        <f t="shared" si="16"/>
        <v>2500</v>
      </c>
      <c r="H210" s="517"/>
    </row>
    <row r="211" spans="1:9" ht="15" customHeight="1" thickTop="1" thickBot="1">
      <c r="A211" s="455"/>
      <c r="B211" s="166"/>
      <c r="C211" s="309" t="s">
        <v>288</v>
      </c>
      <c r="D211" s="418">
        <v>1</v>
      </c>
      <c r="E211" s="419" t="s">
        <v>42</v>
      </c>
      <c r="F211" s="420">
        <v>4000</v>
      </c>
      <c r="G211" s="420">
        <f t="shared" si="16"/>
        <v>4000</v>
      </c>
      <c r="H211" s="517"/>
    </row>
    <row r="212" spans="1:9" ht="19.5" customHeight="1" thickTop="1" thickBot="1">
      <c r="A212" s="455"/>
      <c r="B212" s="167"/>
      <c r="C212" s="311"/>
      <c r="D212" s="525"/>
      <c r="E212" s="526"/>
      <c r="F212" s="531"/>
      <c r="G212" s="528"/>
      <c r="H212" s="529">
        <f>SUM(G201:G212)</f>
        <v>214976</v>
      </c>
      <c r="I212">
        <f>SUM(G201:G212)</f>
        <v>214976</v>
      </c>
    </row>
    <row r="213" spans="1:9" ht="15" customHeight="1">
      <c r="A213" s="457"/>
      <c r="B213" s="164"/>
      <c r="C213" s="305"/>
      <c r="D213" s="509"/>
      <c r="E213" s="530"/>
      <c r="F213" s="511"/>
      <c r="G213" s="512"/>
      <c r="H213" s="513"/>
    </row>
    <row r="214" spans="1:9" ht="19.5" customHeight="1">
      <c r="A214" s="458">
        <v>9300</v>
      </c>
      <c r="B214" s="171" t="s">
        <v>529</v>
      </c>
      <c r="C214" s="322"/>
      <c r="D214" s="554"/>
      <c r="E214" s="554"/>
      <c r="F214" s="511"/>
      <c r="G214" s="512" t="s">
        <v>71</v>
      </c>
      <c r="H214" s="513"/>
    </row>
    <row r="215" spans="1:9" ht="15" customHeight="1" thickBot="1">
      <c r="A215" s="455"/>
      <c r="B215" s="79"/>
      <c r="C215" s="470" t="s">
        <v>604</v>
      </c>
      <c r="D215" s="554"/>
      <c r="E215" s="555"/>
      <c r="F215" s="511"/>
      <c r="G215" s="512"/>
      <c r="H215" s="513"/>
    </row>
    <row r="216" spans="1:9" ht="15" customHeight="1" thickTop="1" thickBot="1">
      <c r="A216" s="460"/>
      <c r="B216" s="79"/>
      <c r="C216" s="310" t="s">
        <v>587</v>
      </c>
      <c r="D216" s="539">
        <f>73+65+60</f>
        <v>198</v>
      </c>
      <c r="E216" s="541" t="s">
        <v>46</v>
      </c>
      <c r="F216" s="540">
        <v>20</v>
      </c>
      <c r="G216" s="491">
        <f>+F216*D216</f>
        <v>3960</v>
      </c>
      <c r="H216" s="547"/>
    </row>
    <row r="217" spans="1:9" ht="15" customHeight="1" thickTop="1" thickBot="1">
      <c r="A217" s="455"/>
      <c r="B217" s="79"/>
      <c r="C217" s="310" t="s">
        <v>588</v>
      </c>
      <c r="D217" s="539">
        <f>44*8</f>
        <v>352</v>
      </c>
      <c r="E217" s="541" t="s">
        <v>46</v>
      </c>
      <c r="F217" s="540">
        <v>25</v>
      </c>
      <c r="G217" s="491">
        <f>+F217*D217</f>
        <v>8800</v>
      </c>
      <c r="H217" s="547"/>
    </row>
    <row r="218" spans="1:9" ht="15" customHeight="1" thickTop="1" thickBot="1">
      <c r="A218" s="455"/>
      <c r="B218" s="79"/>
      <c r="C218" s="310" t="s">
        <v>589</v>
      </c>
      <c r="D218" s="539">
        <v>40</v>
      </c>
      <c r="E218" s="541" t="s">
        <v>46</v>
      </c>
      <c r="F218" s="540">
        <v>25</v>
      </c>
      <c r="G218" s="491">
        <f>+F218*D218</f>
        <v>1000</v>
      </c>
      <c r="H218" s="517"/>
    </row>
    <row r="219" spans="1:9" ht="15" customHeight="1" thickTop="1" thickBot="1">
      <c r="A219" s="455"/>
      <c r="B219" s="79"/>
      <c r="C219" s="310" t="s">
        <v>590</v>
      </c>
      <c r="D219" s="539">
        <v>184</v>
      </c>
      <c r="E219" s="541" t="s">
        <v>46</v>
      </c>
      <c r="F219" s="540">
        <v>25</v>
      </c>
      <c r="G219" s="420">
        <f t="shared" ref="G219:G227" si="17">ROUND(SUM(D219)*F219,0)</f>
        <v>4600</v>
      </c>
      <c r="H219" s="517"/>
    </row>
    <row r="220" spans="1:9" ht="15" customHeight="1" thickTop="1" thickBot="1">
      <c r="A220" s="460"/>
      <c r="B220" s="79"/>
      <c r="C220" s="310" t="s">
        <v>546</v>
      </c>
      <c r="D220" s="539">
        <v>165</v>
      </c>
      <c r="E220" s="541" t="s">
        <v>46</v>
      </c>
      <c r="F220" s="540">
        <v>35</v>
      </c>
      <c r="G220" s="540">
        <f t="shared" ref="G220:G221" si="18">ROUND(SUM(D220)*F220,0)</f>
        <v>5775</v>
      </c>
      <c r="H220" s="521"/>
    </row>
    <row r="221" spans="1:9" ht="15" customHeight="1" thickTop="1" thickBot="1">
      <c r="A221" s="460"/>
      <c r="B221" s="79"/>
      <c r="C221" s="310" t="s">
        <v>547</v>
      </c>
      <c r="D221" s="539">
        <v>400</v>
      </c>
      <c r="E221" s="541" t="s">
        <v>46</v>
      </c>
      <c r="F221" s="540">
        <v>30</v>
      </c>
      <c r="G221" s="540">
        <f t="shared" si="18"/>
        <v>12000</v>
      </c>
      <c r="H221" s="521"/>
    </row>
    <row r="222" spans="1:9" ht="15" customHeight="1" thickTop="1" thickBot="1">
      <c r="A222" s="460"/>
      <c r="B222" s="79"/>
      <c r="C222" s="310" t="s">
        <v>548</v>
      </c>
      <c r="D222" s="539">
        <v>110</v>
      </c>
      <c r="E222" s="541" t="s">
        <v>46</v>
      </c>
      <c r="F222" s="540">
        <v>25</v>
      </c>
      <c r="G222" s="540">
        <f t="shared" si="17"/>
        <v>2750</v>
      </c>
      <c r="H222" s="521"/>
    </row>
    <row r="223" spans="1:9" ht="15" customHeight="1" thickTop="1" thickBot="1">
      <c r="A223" s="460"/>
      <c r="B223" s="79"/>
      <c r="C223" s="310" t="s">
        <v>549</v>
      </c>
      <c r="D223" s="556">
        <v>50</v>
      </c>
      <c r="E223" s="541" t="s">
        <v>46</v>
      </c>
      <c r="F223" s="540">
        <v>20</v>
      </c>
      <c r="G223" s="540">
        <f t="shared" si="17"/>
        <v>1000</v>
      </c>
      <c r="H223" s="521"/>
    </row>
    <row r="224" spans="1:9" ht="15" customHeight="1" thickTop="1" thickBot="1">
      <c r="A224" s="460"/>
      <c r="B224" s="79"/>
      <c r="C224" s="310" t="s">
        <v>565</v>
      </c>
      <c r="D224" s="539">
        <f>52*9</f>
        <v>468</v>
      </c>
      <c r="E224" s="541" t="s">
        <v>46</v>
      </c>
      <c r="F224" s="540">
        <v>30</v>
      </c>
      <c r="G224" s="540">
        <f t="shared" si="17"/>
        <v>14040</v>
      </c>
      <c r="H224" s="521"/>
    </row>
    <row r="225" spans="1:9" ht="15" customHeight="1" thickTop="1" thickBot="1">
      <c r="A225" s="460"/>
      <c r="B225" s="79"/>
      <c r="C225" s="310" t="s">
        <v>550</v>
      </c>
      <c r="D225" s="539">
        <f>25*9</f>
        <v>225</v>
      </c>
      <c r="E225" s="541" t="s">
        <v>46</v>
      </c>
      <c r="F225" s="540">
        <v>30</v>
      </c>
      <c r="G225" s="540">
        <f t="shared" ref="G225:G226" si="19">ROUND(SUM(D225)*F225,0)</f>
        <v>6750</v>
      </c>
      <c r="H225" s="521"/>
    </row>
    <row r="226" spans="1:9" ht="15" customHeight="1" thickTop="1" thickBot="1">
      <c r="A226" s="460"/>
      <c r="B226" s="79"/>
      <c r="C226" s="310" t="s">
        <v>611</v>
      </c>
      <c r="D226" s="539">
        <v>1</v>
      </c>
      <c r="E226" s="541" t="s">
        <v>239</v>
      </c>
      <c r="F226" s="540">
        <v>4000</v>
      </c>
      <c r="G226" s="540">
        <f t="shared" si="19"/>
        <v>4000</v>
      </c>
      <c r="H226" s="521"/>
    </row>
    <row r="227" spans="1:9" ht="15" customHeight="1" thickTop="1" thickBot="1">
      <c r="A227" s="460"/>
      <c r="B227" s="79"/>
      <c r="C227" s="310" t="s">
        <v>296</v>
      </c>
      <c r="D227" s="539">
        <v>24</v>
      </c>
      <c r="E227" s="541" t="s">
        <v>69</v>
      </c>
      <c r="F227" s="540">
        <v>100</v>
      </c>
      <c r="G227" s="540">
        <f t="shared" si="17"/>
        <v>2400</v>
      </c>
      <c r="H227" s="521"/>
    </row>
    <row r="228" spans="1:9" ht="20.25" customHeight="1" thickTop="1" thickBot="1">
      <c r="A228" s="455"/>
      <c r="B228" s="33"/>
      <c r="C228" s="311"/>
      <c r="D228" s="525"/>
      <c r="E228" s="526"/>
      <c r="F228" s="531"/>
      <c r="G228" s="528"/>
      <c r="H228" s="529">
        <f>SUM(G214:G228)</f>
        <v>67075</v>
      </c>
      <c r="I228">
        <f>SUM(G213:G228)</f>
        <v>67075</v>
      </c>
    </row>
    <row r="229" spans="1:9" ht="15" customHeight="1">
      <c r="A229" s="457"/>
      <c r="B229" s="164"/>
      <c r="C229" s="305"/>
      <c r="D229" s="509"/>
      <c r="E229" s="530"/>
      <c r="F229" s="511"/>
      <c r="G229" s="512"/>
      <c r="H229" s="513"/>
    </row>
    <row r="230" spans="1:9" ht="20.25" customHeight="1" thickBot="1">
      <c r="A230" s="458">
        <v>9550</v>
      </c>
      <c r="B230" s="163" t="s">
        <v>158</v>
      </c>
      <c r="C230" s="305"/>
      <c r="D230" s="509"/>
      <c r="E230" s="510"/>
      <c r="F230" s="511"/>
      <c r="G230" s="512" t="s">
        <v>71</v>
      </c>
      <c r="H230" s="513"/>
    </row>
    <row r="231" spans="1:9" ht="34.5" customHeight="1" thickTop="1" thickBot="1">
      <c r="A231" s="455"/>
      <c r="B231" s="166"/>
      <c r="C231" s="309" t="s">
        <v>689</v>
      </c>
      <c r="D231" s="418">
        <v>2150</v>
      </c>
      <c r="E231" s="419" t="s">
        <v>46</v>
      </c>
      <c r="F231" s="420">
        <v>50</v>
      </c>
      <c r="G231" s="420">
        <f t="shared" ref="G231" si="20">ROUND(SUM(D231)*F231,0)</f>
        <v>107500</v>
      </c>
      <c r="H231" s="517"/>
    </row>
    <row r="232" spans="1:9" ht="26.5" customHeight="1" thickTop="1" thickBot="1">
      <c r="A232" s="455"/>
      <c r="B232" s="166"/>
      <c r="C232" s="309" t="s">
        <v>530</v>
      </c>
      <c r="D232" s="418">
        <v>2150</v>
      </c>
      <c r="E232" s="419">
        <v>4</v>
      </c>
      <c r="F232" s="557">
        <v>4.3499999999999996</v>
      </c>
      <c r="G232" s="420">
        <f t="shared" ref="G232" si="21">ROUND(SUM(D232)*F232,0)</f>
        <v>9353</v>
      </c>
      <c r="H232" s="517"/>
    </row>
    <row r="233" spans="1:9" ht="20.7" thickTop="1" thickBot="1">
      <c r="A233" s="455"/>
      <c r="B233" s="33"/>
      <c r="C233" s="308"/>
      <c r="D233" s="525"/>
      <c r="E233" s="526"/>
      <c r="F233" s="527"/>
      <c r="G233" s="528"/>
      <c r="H233" s="529">
        <f>SUM(G230:G233)</f>
        <v>116853</v>
      </c>
      <c r="I233">
        <f>SUM(G230:G233)</f>
        <v>116853</v>
      </c>
    </row>
    <row r="234" spans="1:9" ht="20.100000000000001">
      <c r="A234" s="457"/>
      <c r="B234" s="164"/>
      <c r="C234" s="305"/>
      <c r="D234" s="509"/>
      <c r="E234" s="530"/>
      <c r="F234" s="511"/>
      <c r="G234" s="512"/>
      <c r="H234" s="513"/>
    </row>
    <row r="235" spans="1:9" ht="20.399999999999999" thickBot="1">
      <c r="A235" s="458">
        <v>9650</v>
      </c>
      <c r="B235" s="163" t="s">
        <v>406</v>
      </c>
      <c r="C235" s="305"/>
      <c r="D235" s="509"/>
      <c r="E235" s="510"/>
      <c r="F235" s="511"/>
      <c r="G235" s="512" t="s">
        <v>71</v>
      </c>
      <c r="H235" s="513"/>
    </row>
    <row r="236" spans="1:9" ht="20.7" thickTop="1" thickBot="1">
      <c r="A236" s="455"/>
      <c r="B236" s="166"/>
      <c r="C236" s="309" t="s">
        <v>566</v>
      </c>
      <c r="D236" s="418">
        <v>600</v>
      </c>
      <c r="E236" s="419" t="s">
        <v>46</v>
      </c>
      <c r="F236" s="420">
        <v>22</v>
      </c>
      <c r="G236" s="420">
        <f t="shared" ref="G236:G239" si="22">ROUND(SUM(D236)*F236,0)</f>
        <v>13200</v>
      </c>
      <c r="H236" s="517"/>
    </row>
    <row r="237" spans="1:9" ht="20.7" thickTop="1" thickBot="1">
      <c r="A237" s="455"/>
      <c r="B237" s="166"/>
      <c r="C237" s="309" t="s">
        <v>491</v>
      </c>
      <c r="D237" s="418">
        <v>640</v>
      </c>
      <c r="E237" s="419" t="s">
        <v>46</v>
      </c>
      <c r="F237" s="420">
        <v>19</v>
      </c>
      <c r="G237" s="420">
        <f t="shared" ref="G237:G238" si="23">ROUND(SUM(D237)*F237,0)</f>
        <v>12160</v>
      </c>
      <c r="H237" s="517"/>
    </row>
    <row r="238" spans="1:9" ht="20.7" thickTop="1" thickBot="1">
      <c r="A238" s="455"/>
      <c r="B238" s="166"/>
      <c r="C238" s="309" t="s">
        <v>492</v>
      </c>
      <c r="D238" s="418">
        <v>225</v>
      </c>
      <c r="E238" s="419" t="s">
        <v>46</v>
      </c>
      <c r="F238" s="420">
        <v>22</v>
      </c>
      <c r="G238" s="420">
        <f t="shared" si="23"/>
        <v>4950</v>
      </c>
      <c r="H238" s="517"/>
    </row>
    <row r="239" spans="1:9" ht="20.7" thickTop="1" thickBot="1">
      <c r="A239" s="455"/>
      <c r="B239" s="166"/>
      <c r="C239" s="309" t="s">
        <v>534</v>
      </c>
      <c r="D239" s="418">
        <v>1150</v>
      </c>
      <c r="E239" s="419" t="s">
        <v>46</v>
      </c>
      <c r="F239" s="420">
        <v>22</v>
      </c>
      <c r="G239" s="420">
        <f t="shared" si="22"/>
        <v>25300</v>
      </c>
      <c r="H239" s="517"/>
    </row>
    <row r="240" spans="1:9" ht="15" customHeight="1" thickTop="1" thickBot="1">
      <c r="A240" s="455"/>
      <c r="B240" s="33"/>
      <c r="C240" s="308"/>
      <c r="D240" s="525"/>
      <c r="E240" s="526"/>
      <c r="F240" s="527"/>
      <c r="G240" s="528"/>
      <c r="H240" s="529">
        <f>SUM(G235:G240)</f>
        <v>55610</v>
      </c>
      <c r="I240">
        <f>SUM(G235:G240)</f>
        <v>55610</v>
      </c>
    </row>
    <row r="241" spans="1:9" ht="15" customHeight="1">
      <c r="A241" s="457"/>
      <c r="B241" s="166"/>
      <c r="C241" s="317"/>
      <c r="D241" s="509"/>
      <c r="E241" s="530"/>
      <c r="F241" s="543"/>
      <c r="G241" s="512"/>
      <c r="H241" s="513"/>
    </row>
    <row r="242" spans="1:9" ht="23.65" customHeight="1" thickBot="1">
      <c r="A242" s="455">
        <v>9800</v>
      </c>
      <c r="B242" s="166" t="s">
        <v>333</v>
      </c>
      <c r="C242" s="317"/>
      <c r="D242" s="509"/>
      <c r="E242" s="530"/>
      <c r="F242" s="543"/>
      <c r="G242" s="512"/>
      <c r="H242" s="513"/>
    </row>
    <row r="243" spans="1:9" ht="20.7" thickTop="1" thickBot="1">
      <c r="A243" s="458"/>
      <c r="B243" s="163"/>
      <c r="C243" s="309" t="s">
        <v>490</v>
      </c>
      <c r="D243" s="418">
        <v>550</v>
      </c>
      <c r="E243" s="419" t="s">
        <v>46</v>
      </c>
      <c r="F243" s="420">
        <v>19</v>
      </c>
      <c r="G243" s="420">
        <f t="shared" ref="G243:G244" si="24">ROUND(SUM(D243)*F243,0)</f>
        <v>10450</v>
      </c>
      <c r="H243" s="513"/>
    </row>
    <row r="244" spans="1:9" ht="20.7" thickTop="1" thickBot="1">
      <c r="A244" s="458"/>
      <c r="B244" s="163"/>
      <c r="C244" s="309" t="s">
        <v>533</v>
      </c>
      <c r="D244" s="418">
        <f>(120*9)+(11*130)</f>
        <v>2510</v>
      </c>
      <c r="E244" s="419" t="s">
        <v>46</v>
      </c>
      <c r="F244" s="420">
        <v>20</v>
      </c>
      <c r="G244" s="420">
        <f t="shared" si="24"/>
        <v>50200</v>
      </c>
      <c r="H244" s="513"/>
    </row>
    <row r="245" spans="1:9" ht="20.7" thickTop="1" thickBot="1">
      <c r="A245" s="458"/>
      <c r="B245" s="163"/>
      <c r="C245" s="309" t="s">
        <v>567</v>
      </c>
      <c r="D245" s="418">
        <v>3000</v>
      </c>
      <c r="E245" s="419" t="s">
        <v>46</v>
      </c>
      <c r="F245" s="420">
        <v>20</v>
      </c>
      <c r="G245" s="420">
        <f t="shared" ref="G245" si="25">ROUND(SUM(D245)*F245,0)</f>
        <v>60000</v>
      </c>
      <c r="H245" s="513"/>
    </row>
    <row r="246" spans="1:9" ht="19.5" customHeight="1" thickTop="1" thickBot="1">
      <c r="A246" s="455"/>
      <c r="B246" s="33"/>
      <c r="C246" s="311"/>
      <c r="D246" s="525"/>
      <c r="E246" s="526"/>
      <c r="F246" s="531"/>
      <c r="G246" s="528"/>
      <c r="H246" s="529">
        <f>SUM(G243:G245)</f>
        <v>120650</v>
      </c>
      <c r="I246">
        <f>SUM(G242:G246)</f>
        <v>120650</v>
      </c>
    </row>
    <row r="247" spans="1:9" ht="15" customHeight="1">
      <c r="A247" s="457"/>
      <c r="B247" s="166"/>
      <c r="C247" s="317"/>
      <c r="D247" s="509"/>
      <c r="E247" s="530"/>
      <c r="F247" s="543"/>
      <c r="G247" s="512"/>
      <c r="H247" s="513"/>
    </row>
    <row r="248" spans="1:9" ht="20.399999999999999" thickBot="1">
      <c r="A248" s="458">
        <v>9900</v>
      </c>
      <c r="B248" s="163" t="s">
        <v>287</v>
      </c>
      <c r="C248" s="305"/>
      <c r="D248" s="509"/>
      <c r="E248" s="530"/>
      <c r="F248" s="511"/>
      <c r="G248" s="512"/>
      <c r="H248" s="513"/>
    </row>
    <row r="249" spans="1:9" ht="20.7" thickTop="1" thickBot="1">
      <c r="A249" s="458"/>
      <c r="B249" s="163"/>
      <c r="C249" s="309" t="s">
        <v>317</v>
      </c>
      <c r="D249" s="418">
        <v>1</v>
      </c>
      <c r="E249" s="419" t="s">
        <v>42</v>
      </c>
      <c r="F249" s="420">
        <v>8000</v>
      </c>
      <c r="G249" s="420">
        <f t="shared" ref="G249:G252" si="26">ROUND(SUM(D249)*F249,0)</f>
        <v>8000</v>
      </c>
      <c r="H249" s="513"/>
    </row>
    <row r="250" spans="1:9" ht="20.7" thickTop="1" thickBot="1">
      <c r="A250" s="458"/>
      <c r="B250" s="163"/>
      <c r="C250" s="309" t="s">
        <v>576</v>
      </c>
      <c r="D250" s="418">
        <v>1</v>
      </c>
      <c r="E250" s="419" t="s">
        <v>42</v>
      </c>
      <c r="F250" s="420">
        <v>27000</v>
      </c>
      <c r="G250" s="420">
        <f t="shared" si="26"/>
        <v>27000</v>
      </c>
      <c r="H250" s="513"/>
    </row>
    <row r="251" spans="1:9" ht="20.7" thickTop="1" thickBot="1">
      <c r="A251" s="458"/>
      <c r="B251" s="163"/>
      <c r="C251" s="309" t="s">
        <v>315</v>
      </c>
      <c r="D251" s="418">
        <v>1</v>
      </c>
      <c r="E251" s="419" t="s">
        <v>42</v>
      </c>
      <c r="F251" s="420">
        <v>10000</v>
      </c>
      <c r="G251" s="420">
        <f t="shared" si="26"/>
        <v>10000</v>
      </c>
      <c r="H251" s="513"/>
    </row>
    <row r="252" spans="1:9" ht="20.7" thickTop="1" thickBot="1">
      <c r="A252" s="458"/>
      <c r="B252" s="163"/>
      <c r="C252" s="309"/>
      <c r="D252" s="418"/>
      <c r="E252" s="419"/>
      <c r="F252" s="420"/>
      <c r="G252" s="420">
        <f t="shared" si="26"/>
        <v>0</v>
      </c>
      <c r="H252" s="513"/>
    </row>
    <row r="253" spans="1:9" ht="19.5" customHeight="1" thickTop="1" thickBot="1">
      <c r="A253" s="455"/>
      <c r="B253" s="33"/>
      <c r="C253" s="311"/>
      <c r="D253" s="525"/>
      <c r="E253" s="526"/>
      <c r="F253" s="531"/>
      <c r="G253" s="528"/>
      <c r="H253" s="529">
        <f>SUM(G249:G252)</f>
        <v>45000</v>
      </c>
      <c r="I253">
        <f>SUM(G248:G253)</f>
        <v>45000</v>
      </c>
    </row>
    <row r="254" spans="1:9" ht="15" customHeight="1">
      <c r="A254" s="457"/>
      <c r="B254" s="166"/>
      <c r="C254" s="317"/>
      <c r="D254" s="509"/>
      <c r="E254" s="530"/>
      <c r="F254" s="543"/>
      <c r="G254" s="512"/>
      <c r="H254" s="513"/>
    </row>
    <row r="255" spans="1:9" ht="20.25" customHeight="1">
      <c r="A255" s="458">
        <v>10800</v>
      </c>
      <c r="B255" s="163" t="s">
        <v>59</v>
      </c>
      <c r="C255" s="305"/>
      <c r="D255" s="509"/>
      <c r="E255" s="510"/>
      <c r="F255" s="511"/>
      <c r="G255" s="512" t="s">
        <v>71</v>
      </c>
      <c r="H255" s="513"/>
    </row>
    <row r="256" spans="1:9" ht="20.25" customHeight="1" thickBot="1">
      <c r="A256" s="455"/>
      <c r="B256" s="33"/>
      <c r="C256" s="308"/>
      <c r="D256" s="525"/>
      <c r="E256" s="526"/>
      <c r="F256" s="527"/>
      <c r="G256" s="528"/>
      <c r="H256" s="529" t="s">
        <v>523</v>
      </c>
    </row>
    <row r="257" spans="1:9" ht="15" customHeight="1">
      <c r="A257" s="457"/>
      <c r="B257" s="164"/>
      <c r="C257" s="305"/>
      <c r="D257" s="509"/>
      <c r="E257" s="530"/>
      <c r="F257" s="511"/>
      <c r="G257" s="512"/>
      <c r="H257" s="513"/>
    </row>
    <row r="258" spans="1:9" ht="20.25" customHeight="1">
      <c r="A258" s="458">
        <v>11750</v>
      </c>
      <c r="B258" s="163" t="s">
        <v>609</v>
      </c>
      <c r="C258" s="305"/>
      <c r="D258" s="509"/>
      <c r="E258" s="510"/>
      <c r="F258" s="511"/>
      <c r="G258" s="512" t="s">
        <v>71</v>
      </c>
      <c r="H258" s="513"/>
    </row>
    <row r="259" spans="1:9" ht="20.25" customHeight="1" thickBot="1">
      <c r="A259" s="455"/>
      <c r="B259" s="33"/>
      <c r="C259" s="308"/>
      <c r="D259" s="525"/>
      <c r="E259" s="526"/>
      <c r="F259" s="527"/>
      <c r="G259" s="528"/>
      <c r="H259" s="553" t="s">
        <v>592</v>
      </c>
      <c r="I259">
        <f>+G470</f>
        <v>12500</v>
      </c>
    </row>
    <row r="260" spans="1:9" ht="15" customHeight="1">
      <c r="A260" s="457"/>
      <c r="B260" s="164"/>
      <c r="C260" s="305"/>
      <c r="D260" s="509"/>
      <c r="E260" s="530"/>
      <c r="F260" s="511"/>
      <c r="G260" s="512"/>
      <c r="H260" s="513"/>
    </row>
    <row r="261" spans="1:9" ht="19.5" customHeight="1">
      <c r="A261" s="458">
        <v>12500</v>
      </c>
      <c r="B261" s="169" t="s">
        <v>124</v>
      </c>
      <c r="C261" s="305"/>
      <c r="D261" s="509"/>
      <c r="E261" s="510"/>
      <c r="F261" s="511"/>
      <c r="G261" s="512" t="s">
        <v>71</v>
      </c>
      <c r="H261" s="513"/>
    </row>
    <row r="262" spans="1:9" ht="20.25" customHeight="1" thickBot="1">
      <c r="A262" s="455"/>
      <c r="B262" s="33"/>
      <c r="C262" s="308"/>
      <c r="D262" s="525"/>
      <c r="E262" s="526"/>
      <c r="F262" s="527"/>
      <c r="G262" s="528"/>
      <c r="H262" s="529" t="s">
        <v>289</v>
      </c>
    </row>
    <row r="263" spans="1:9" ht="17.5" customHeight="1">
      <c r="A263" s="457"/>
      <c r="B263" s="164"/>
      <c r="C263" s="305"/>
      <c r="D263" s="509"/>
      <c r="E263" s="530"/>
      <c r="F263" s="511"/>
      <c r="G263" s="512"/>
      <c r="H263" s="513"/>
    </row>
    <row r="264" spans="1:9" ht="20.25" customHeight="1">
      <c r="A264" s="458">
        <v>13750</v>
      </c>
      <c r="B264" s="169" t="s">
        <v>318</v>
      </c>
      <c r="C264" s="305"/>
      <c r="D264" s="509"/>
      <c r="E264" s="510"/>
      <c r="F264" s="511"/>
      <c r="G264" s="512" t="s">
        <v>71</v>
      </c>
      <c r="H264" s="513"/>
    </row>
    <row r="265" spans="1:9" ht="20.25" customHeight="1" thickBot="1">
      <c r="A265" s="455"/>
      <c r="B265" s="33"/>
      <c r="C265" s="308"/>
      <c r="D265" s="525"/>
      <c r="E265" s="526"/>
      <c r="F265" s="527"/>
      <c r="G265" s="528"/>
      <c r="H265" s="529" t="s">
        <v>337</v>
      </c>
    </row>
    <row r="266" spans="1:9" ht="9.6" customHeight="1">
      <c r="A266" s="457"/>
      <c r="B266" s="164"/>
      <c r="C266" s="305"/>
      <c r="D266" s="509"/>
      <c r="E266" s="530"/>
      <c r="F266" s="511"/>
      <c r="G266" s="512"/>
      <c r="H266" s="513"/>
    </row>
    <row r="267" spans="1:9" ht="20.25" customHeight="1" thickBot="1">
      <c r="A267" s="458">
        <v>14200</v>
      </c>
      <c r="B267" s="169" t="s">
        <v>136</v>
      </c>
      <c r="C267" s="305"/>
      <c r="D267" s="509"/>
      <c r="E267" s="510"/>
      <c r="F267" s="511"/>
      <c r="G267" s="512" t="s">
        <v>71</v>
      </c>
      <c r="H267" s="513"/>
    </row>
    <row r="268" spans="1:9" ht="15" customHeight="1" thickTop="1" thickBot="1">
      <c r="A268" s="455"/>
      <c r="B268" s="166"/>
      <c r="C268" s="309" t="s">
        <v>308</v>
      </c>
      <c r="D268" s="418">
        <v>5</v>
      </c>
      <c r="E268" s="419" t="s">
        <v>290</v>
      </c>
      <c r="F268" s="420">
        <v>24000</v>
      </c>
      <c r="G268" s="420">
        <f t="shared" ref="G268:G269" si="27">ROUND(SUM(D268)*F268,0)</f>
        <v>120000</v>
      </c>
      <c r="H268" s="517"/>
    </row>
    <row r="269" spans="1:9" ht="15" customHeight="1" thickTop="1" thickBot="1">
      <c r="A269" s="455"/>
      <c r="B269" s="79"/>
      <c r="C269" s="310" t="s">
        <v>291</v>
      </c>
      <c r="D269" s="539">
        <v>5</v>
      </c>
      <c r="E269" s="541" t="s">
        <v>292</v>
      </c>
      <c r="F269" s="540">
        <v>950</v>
      </c>
      <c r="G269" s="540">
        <f t="shared" si="27"/>
        <v>4750</v>
      </c>
      <c r="H269" s="521"/>
    </row>
    <row r="270" spans="1:9" ht="20.25" customHeight="1" thickTop="1" thickBot="1">
      <c r="A270" s="455"/>
      <c r="B270" s="33"/>
      <c r="C270" s="308"/>
      <c r="D270" s="525"/>
      <c r="E270" s="526"/>
      <c r="F270" s="527"/>
      <c r="G270" s="528"/>
      <c r="H270" s="529">
        <f>SUM(G267:G270)</f>
        <v>124750</v>
      </c>
      <c r="I270">
        <f>SUM(G267:G270)</f>
        <v>124750</v>
      </c>
    </row>
    <row r="271" spans="1:9" ht="15" customHeight="1">
      <c r="A271" s="457"/>
      <c r="B271" s="169"/>
      <c r="C271" s="305"/>
      <c r="D271" s="509"/>
      <c r="E271" s="510"/>
      <c r="F271" s="511"/>
      <c r="G271" s="512" t="s">
        <v>71</v>
      </c>
      <c r="H271" s="513"/>
    </row>
    <row r="272" spans="1:9" ht="20.25" customHeight="1" thickBot="1">
      <c r="A272" s="458">
        <v>15400</v>
      </c>
      <c r="B272" s="163" t="s">
        <v>58</v>
      </c>
      <c r="C272" s="305"/>
      <c r="D272" s="509"/>
      <c r="E272" s="510"/>
      <c r="F272" s="511"/>
      <c r="G272" s="512" t="s">
        <v>71</v>
      </c>
      <c r="H272" s="513"/>
    </row>
    <row r="273" spans="1:8" ht="15" customHeight="1" thickTop="1" thickBot="1">
      <c r="A273" s="455"/>
      <c r="B273" s="166"/>
      <c r="C273" s="309" t="s">
        <v>568</v>
      </c>
      <c r="D273" s="418">
        <v>1</v>
      </c>
      <c r="E273" s="419" t="s">
        <v>42</v>
      </c>
      <c r="F273" s="420">
        <v>30000</v>
      </c>
      <c r="G273" s="420">
        <f t="shared" ref="G273:G317" si="28">ROUND(SUM(D273)*F273,0)</f>
        <v>30000</v>
      </c>
      <c r="H273" s="517"/>
    </row>
    <row r="274" spans="1:8" ht="15" customHeight="1" thickTop="1" thickBot="1">
      <c r="A274" s="455"/>
      <c r="B274" s="166"/>
      <c r="C274" s="309" t="s">
        <v>309</v>
      </c>
      <c r="D274" s="418">
        <v>1</v>
      </c>
      <c r="E274" s="419" t="s">
        <v>42</v>
      </c>
      <c r="F274" s="420">
        <v>20000</v>
      </c>
      <c r="G274" s="420">
        <f t="shared" si="28"/>
        <v>20000</v>
      </c>
      <c r="H274" s="517"/>
    </row>
    <row r="275" spans="1:8" ht="15" customHeight="1" thickTop="1" thickBot="1">
      <c r="A275" s="455"/>
      <c r="B275" s="166"/>
      <c r="C275" s="309" t="s">
        <v>294</v>
      </c>
      <c r="D275" s="418">
        <v>1</v>
      </c>
      <c r="E275" s="419" t="s">
        <v>42</v>
      </c>
      <c r="F275" s="420">
        <v>20000</v>
      </c>
      <c r="G275" s="420">
        <f t="shared" si="28"/>
        <v>20000</v>
      </c>
      <c r="H275" s="517"/>
    </row>
    <row r="276" spans="1:8" ht="15" customHeight="1" thickTop="1" thickBot="1">
      <c r="A276" s="455"/>
      <c r="B276" s="166"/>
      <c r="C276" s="334" t="s">
        <v>368</v>
      </c>
      <c r="D276" s="418"/>
      <c r="E276" s="419"/>
      <c r="F276" s="420"/>
      <c r="G276" s="420">
        <f>ROUND(SUM(D276)*F276,0)</f>
        <v>0</v>
      </c>
      <c r="H276" s="517"/>
    </row>
    <row r="277" spans="1:8" ht="15" customHeight="1" thickTop="1" thickBot="1">
      <c r="A277" s="455"/>
      <c r="B277" s="166"/>
      <c r="C277" s="309" t="s">
        <v>569</v>
      </c>
      <c r="D277" s="418"/>
      <c r="E277" s="419"/>
      <c r="F277" s="420"/>
      <c r="G277" s="420"/>
      <c r="H277" s="517"/>
    </row>
    <row r="278" spans="1:8" ht="15" customHeight="1" thickTop="1" thickBot="1">
      <c r="A278" s="455"/>
      <c r="B278" s="166"/>
      <c r="C278" s="309" t="s">
        <v>371</v>
      </c>
      <c r="D278" s="418"/>
      <c r="E278" s="419"/>
      <c r="F278" s="420"/>
      <c r="G278" s="420"/>
      <c r="H278" s="517"/>
    </row>
    <row r="279" spans="1:8" ht="15" customHeight="1" thickTop="1" thickBot="1">
      <c r="A279" s="455"/>
      <c r="B279" s="166"/>
      <c r="C279" s="358" t="s">
        <v>341</v>
      </c>
      <c r="D279" s="418"/>
      <c r="E279" s="419"/>
      <c r="F279" s="420"/>
      <c r="G279" s="420">
        <v>235000</v>
      </c>
      <c r="H279" s="517"/>
    </row>
    <row r="280" spans="1:8" ht="15" customHeight="1" thickTop="1" thickBot="1">
      <c r="A280" s="455"/>
      <c r="B280" s="166"/>
      <c r="C280" s="309" t="s">
        <v>342</v>
      </c>
      <c r="D280" s="418"/>
      <c r="E280" s="419"/>
      <c r="F280" s="420"/>
      <c r="G280" s="420" t="s">
        <v>327</v>
      </c>
      <c r="H280" s="517"/>
    </row>
    <row r="281" spans="1:8" ht="15" customHeight="1" thickTop="1" thickBot="1">
      <c r="A281" s="455"/>
      <c r="B281" s="166"/>
      <c r="C281" s="309" t="s">
        <v>343</v>
      </c>
      <c r="D281" s="418"/>
      <c r="E281" s="419"/>
      <c r="F281" s="420"/>
      <c r="G281" s="420" t="s">
        <v>327</v>
      </c>
      <c r="H281" s="517"/>
    </row>
    <row r="282" spans="1:8" ht="18.600000000000001" customHeight="1" thickTop="1" thickBot="1">
      <c r="A282" s="455"/>
      <c r="B282" s="166"/>
      <c r="C282" s="309" t="s">
        <v>344</v>
      </c>
      <c r="D282" s="418"/>
      <c r="E282" s="419"/>
      <c r="F282" s="420"/>
      <c r="G282" s="420" t="s">
        <v>327</v>
      </c>
      <c r="H282" s="517"/>
    </row>
    <row r="283" spans="1:8" ht="15" customHeight="1" thickTop="1" thickBot="1">
      <c r="A283" s="455"/>
      <c r="B283" s="166"/>
      <c r="C283" s="309" t="s">
        <v>345</v>
      </c>
      <c r="D283" s="418"/>
      <c r="E283" s="419"/>
      <c r="F283" s="420"/>
      <c r="G283" s="420" t="s">
        <v>327</v>
      </c>
      <c r="H283" s="517"/>
    </row>
    <row r="284" spans="1:8" ht="15" customHeight="1" thickTop="1" thickBot="1">
      <c r="A284" s="455"/>
      <c r="B284" s="166"/>
      <c r="C284" s="309" t="s">
        <v>346</v>
      </c>
      <c r="D284" s="418"/>
      <c r="E284" s="419"/>
      <c r="F284" s="420"/>
      <c r="G284" s="420" t="s">
        <v>327</v>
      </c>
      <c r="H284" s="517"/>
    </row>
    <row r="285" spans="1:8" ht="15" customHeight="1" thickTop="1" thickBot="1">
      <c r="A285" s="455"/>
      <c r="B285" s="166"/>
      <c r="C285" s="309" t="s">
        <v>347</v>
      </c>
      <c r="D285" s="418"/>
      <c r="E285" s="419"/>
      <c r="F285" s="420"/>
      <c r="G285" s="420" t="s">
        <v>327</v>
      </c>
      <c r="H285" s="517"/>
    </row>
    <row r="286" spans="1:8" ht="15" customHeight="1" thickTop="1" thickBot="1">
      <c r="A286" s="455"/>
      <c r="B286" s="166"/>
      <c r="C286" s="358" t="s">
        <v>348</v>
      </c>
      <c r="D286" s="418"/>
      <c r="E286" s="419"/>
      <c r="F286" s="420"/>
      <c r="G286" s="420"/>
      <c r="H286" s="517"/>
    </row>
    <row r="287" spans="1:8" ht="29.1" customHeight="1" thickTop="1" thickBot="1">
      <c r="A287" s="455"/>
      <c r="B287" s="166"/>
      <c r="C287" s="309" t="s">
        <v>349</v>
      </c>
      <c r="D287" s="418"/>
      <c r="E287" s="419"/>
      <c r="F287" s="420"/>
      <c r="G287" s="420" t="s">
        <v>327</v>
      </c>
      <c r="H287" s="517"/>
    </row>
    <row r="288" spans="1:8" ht="15" customHeight="1" thickTop="1" thickBot="1">
      <c r="A288" s="455"/>
      <c r="B288" s="166"/>
      <c r="C288" s="309" t="s">
        <v>350</v>
      </c>
      <c r="D288" s="418"/>
      <c r="E288" s="419"/>
      <c r="F288" s="420"/>
      <c r="G288" s="420" t="s">
        <v>327</v>
      </c>
      <c r="H288" s="517"/>
    </row>
    <row r="289" spans="1:8" ht="15" customHeight="1" thickTop="1" thickBot="1">
      <c r="A289" s="455"/>
      <c r="B289" s="166"/>
      <c r="C289" s="309" t="s">
        <v>351</v>
      </c>
      <c r="D289" s="418"/>
      <c r="E289" s="419"/>
      <c r="F289" s="420"/>
      <c r="G289" s="420" t="s">
        <v>327</v>
      </c>
      <c r="H289" s="517"/>
    </row>
    <row r="290" spans="1:8" ht="15" customHeight="1" thickTop="1" thickBot="1">
      <c r="A290" s="455"/>
      <c r="B290" s="166"/>
      <c r="C290" s="309" t="s">
        <v>352</v>
      </c>
      <c r="D290" s="418"/>
      <c r="E290" s="419"/>
      <c r="F290" s="420"/>
      <c r="G290" s="420" t="s">
        <v>327</v>
      </c>
      <c r="H290" s="517"/>
    </row>
    <row r="291" spans="1:8" ht="15" customHeight="1" thickTop="1" thickBot="1">
      <c r="A291" s="455"/>
      <c r="B291" s="166"/>
      <c r="C291" s="309" t="s">
        <v>350</v>
      </c>
      <c r="D291" s="418"/>
      <c r="E291" s="419"/>
      <c r="F291" s="420"/>
      <c r="G291" s="420" t="s">
        <v>327</v>
      </c>
      <c r="H291" s="517"/>
    </row>
    <row r="292" spans="1:8" ht="29.65" customHeight="1" thickTop="1" thickBot="1">
      <c r="A292" s="455"/>
      <c r="B292" s="166"/>
      <c r="C292" s="309" t="s">
        <v>344</v>
      </c>
      <c r="D292" s="418"/>
      <c r="E292" s="419"/>
      <c r="F292" s="420"/>
      <c r="G292" s="420" t="s">
        <v>327</v>
      </c>
      <c r="H292" s="517"/>
    </row>
    <row r="293" spans="1:8" ht="15" customHeight="1" thickTop="1" thickBot="1">
      <c r="A293" s="455"/>
      <c r="B293" s="166"/>
      <c r="C293" s="358" t="s">
        <v>353</v>
      </c>
      <c r="D293" s="418"/>
      <c r="E293" s="419"/>
      <c r="F293" s="420"/>
      <c r="G293" s="420"/>
      <c r="H293" s="517"/>
    </row>
    <row r="294" spans="1:8" ht="15" customHeight="1" thickTop="1" thickBot="1">
      <c r="A294" s="455"/>
      <c r="B294" s="166"/>
      <c r="C294" s="309" t="s">
        <v>354</v>
      </c>
      <c r="D294" s="418"/>
      <c r="E294" s="419"/>
      <c r="F294" s="420"/>
      <c r="G294" s="420" t="s">
        <v>327</v>
      </c>
      <c r="H294" s="517"/>
    </row>
    <row r="295" spans="1:8" ht="15" customHeight="1" thickTop="1" thickBot="1">
      <c r="A295" s="455"/>
      <c r="B295" s="166"/>
      <c r="C295" s="309" t="s">
        <v>355</v>
      </c>
      <c r="D295" s="418"/>
      <c r="E295" s="419"/>
      <c r="F295" s="420"/>
      <c r="G295" s="420" t="s">
        <v>327</v>
      </c>
      <c r="H295" s="517"/>
    </row>
    <row r="296" spans="1:8" ht="15" customHeight="1" thickTop="1" thickBot="1">
      <c r="A296" s="455"/>
      <c r="B296" s="166"/>
      <c r="C296" s="358" t="s">
        <v>356</v>
      </c>
      <c r="D296" s="418"/>
      <c r="E296" s="419"/>
      <c r="F296" s="420"/>
      <c r="G296" s="420"/>
      <c r="H296" s="517"/>
    </row>
    <row r="297" spans="1:8" ht="31.15" customHeight="1" thickTop="1" thickBot="1">
      <c r="A297" s="455"/>
      <c r="B297" s="166"/>
      <c r="C297" s="309" t="s">
        <v>357</v>
      </c>
      <c r="D297" s="418"/>
      <c r="E297" s="419"/>
      <c r="F297" s="420"/>
      <c r="G297" s="420" t="s">
        <v>327</v>
      </c>
      <c r="H297" s="517"/>
    </row>
    <row r="298" spans="1:8" ht="15" customHeight="1" thickTop="1" thickBot="1">
      <c r="A298" s="455"/>
      <c r="B298" s="166"/>
      <c r="C298" s="309" t="s">
        <v>358</v>
      </c>
      <c r="D298" s="418"/>
      <c r="E298" s="419"/>
      <c r="F298" s="420"/>
      <c r="G298" s="420" t="s">
        <v>327</v>
      </c>
      <c r="H298" s="517"/>
    </row>
    <row r="299" spans="1:8" ht="15" customHeight="1" thickTop="1" thickBot="1">
      <c r="A299" s="455"/>
      <c r="B299" s="166"/>
      <c r="C299" s="358" t="s">
        <v>578</v>
      </c>
      <c r="D299" s="418"/>
      <c r="E299" s="419"/>
      <c r="F299" s="420"/>
      <c r="G299" s="420"/>
      <c r="H299" s="517"/>
    </row>
    <row r="300" spans="1:8" ht="15" customHeight="1" thickTop="1" thickBot="1">
      <c r="A300" s="455"/>
      <c r="B300" s="166"/>
      <c r="C300" s="358" t="s">
        <v>359</v>
      </c>
      <c r="D300" s="418"/>
      <c r="E300" s="419"/>
      <c r="F300" s="420"/>
      <c r="G300" s="420"/>
      <c r="H300" s="517"/>
    </row>
    <row r="301" spans="1:8" ht="31" customHeight="1" thickTop="1" thickBot="1">
      <c r="A301" s="455"/>
      <c r="B301" s="166"/>
      <c r="C301" s="309" t="s">
        <v>360</v>
      </c>
      <c r="D301" s="418"/>
      <c r="E301" s="419"/>
      <c r="F301" s="420"/>
      <c r="G301" s="420" t="s">
        <v>327</v>
      </c>
      <c r="H301" s="517"/>
    </row>
    <row r="302" spans="1:8" ht="31" customHeight="1" thickTop="1" thickBot="1">
      <c r="A302" s="455"/>
      <c r="B302" s="166"/>
      <c r="C302" s="309" t="s">
        <v>361</v>
      </c>
      <c r="D302" s="418"/>
      <c r="E302" s="419"/>
      <c r="F302" s="420"/>
      <c r="G302" s="420" t="s">
        <v>327</v>
      </c>
      <c r="H302" s="517"/>
    </row>
    <row r="303" spans="1:8" ht="31" customHeight="1" thickTop="1" thickBot="1">
      <c r="A303" s="455"/>
      <c r="B303" s="166"/>
      <c r="C303" s="309" t="s">
        <v>361</v>
      </c>
      <c r="D303" s="418"/>
      <c r="E303" s="419"/>
      <c r="F303" s="420"/>
      <c r="G303" s="420" t="s">
        <v>327</v>
      </c>
      <c r="H303" s="517"/>
    </row>
    <row r="304" spans="1:8" ht="22.5" customHeight="1" thickTop="1" thickBot="1">
      <c r="A304" s="455"/>
      <c r="B304" s="166"/>
      <c r="C304" s="309" t="s">
        <v>362</v>
      </c>
      <c r="D304" s="418"/>
      <c r="E304" s="419"/>
      <c r="F304" s="420"/>
      <c r="G304" s="420" t="s">
        <v>327</v>
      </c>
      <c r="H304" s="517"/>
    </row>
    <row r="305" spans="1:9" ht="22.5" customHeight="1" thickTop="1" thickBot="1">
      <c r="A305" s="455"/>
      <c r="B305" s="166"/>
      <c r="C305" s="445" t="s">
        <v>363</v>
      </c>
      <c r="D305" s="418"/>
      <c r="E305" s="419"/>
      <c r="F305" s="420"/>
      <c r="G305" s="420"/>
      <c r="H305" s="517"/>
    </row>
    <row r="306" spans="1:9" ht="20.5" customHeight="1" thickTop="1" thickBot="1">
      <c r="A306" s="455"/>
      <c r="B306" s="166"/>
      <c r="C306" s="309" t="s">
        <v>345</v>
      </c>
      <c r="D306" s="418"/>
      <c r="E306" s="419"/>
      <c r="F306" s="420"/>
      <c r="G306" s="420" t="s">
        <v>327</v>
      </c>
      <c r="H306" s="517"/>
    </row>
    <row r="307" spans="1:9" ht="20.5" customHeight="1" thickTop="1" thickBot="1">
      <c r="A307" s="455"/>
      <c r="B307" s="166"/>
      <c r="C307" s="309" t="s">
        <v>570</v>
      </c>
      <c r="D307" s="418"/>
      <c r="E307" s="419"/>
      <c r="F307" s="420"/>
      <c r="G307" s="420" t="s">
        <v>327</v>
      </c>
      <c r="H307" s="517"/>
    </row>
    <row r="308" spans="1:9" ht="20.5" customHeight="1" thickTop="1" thickBot="1">
      <c r="A308" s="455"/>
      <c r="B308" s="166"/>
      <c r="C308" s="309" t="s">
        <v>571</v>
      </c>
      <c r="D308" s="418"/>
      <c r="E308" s="419"/>
      <c r="F308" s="420"/>
      <c r="G308" s="420" t="s">
        <v>327</v>
      </c>
      <c r="H308" s="517"/>
    </row>
    <row r="309" spans="1:9" ht="15" customHeight="1" thickTop="1" thickBot="1">
      <c r="A309" s="455"/>
      <c r="B309" s="166"/>
      <c r="C309" s="309" t="s">
        <v>364</v>
      </c>
      <c r="D309" s="418"/>
      <c r="E309" s="419"/>
      <c r="F309" s="420"/>
      <c r="G309" s="420" t="s">
        <v>327</v>
      </c>
      <c r="H309" s="517"/>
    </row>
    <row r="310" spans="1:9" ht="20.5" customHeight="1" thickTop="1" thickBot="1">
      <c r="A310" s="455"/>
      <c r="B310" s="166"/>
      <c r="C310" s="309" t="s">
        <v>579</v>
      </c>
      <c r="D310" s="418"/>
      <c r="E310" s="419"/>
      <c r="F310" s="420"/>
      <c r="G310" s="420" t="s">
        <v>327</v>
      </c>
      <c r="H310" s="517"/>
    </row>
    <row r="311" spans="1:9" ht="19.5" customHeight="1" thickTop="1" thickBot="1">
      <c r="A311" s="455"/>
      <c r="B311" s="166"/>
      <c r="C311" s="309" t="s">
        <v>370</v>
      </c>
      <c r="D311" s="418"/>
      <c r="E311" s="419"/>
      <c r="F311" s="420"/>
      <c r="G311" s="420" t="s">
        <v>327</v>
      </c>
      <c r="H311" s="517"/>
    </row>
    <row r="312" spans="1:9" ht="28" customHeight="1" thickTop="1" thickBot="1">
      <c r="A312" s="455"/>
      <c r="B312" s="166"/>
      <c r="C312" s="309" t="s">
        <v>365</v>
      </c>
      <c r="D312" s="418"/>
      <c r="E312" s="419"/>
      <c r="F312" s="420"/>
      <c r="G312" s="420" t="s">
        <v>327</v>
      </c>
      <c r="H312" s="517"/>
    </row>
    <row r="313" spans="1:9" ht="28" customHeight="1" thickTop="1" thickBot="1">
      <c r="A313" s="455"/>
      <c r="B313" s="166"/>
      <c r="C313" s="309" t="s">
        <v>366</v>
      </c>
      <c r="D313" s="418"/>
      <c r="E313" s="419"/>
      <c r="F313" s="420"/>
      <c r="G313" s="420" t="s">
        <v>327</v>
      </c>
      <c r="H313" s="517"/>
    </row>
    <row r="314" spans="1:9" ht="28" customHeight="1" thickTop="1" thickBot="1">
      <c r="A314" s="455"/>
      <c r="B314" s="166"/>
      <c r="C314" s="309" t="s">
        <v>572</v>
      </c>
      <c r="D314" s="418"/>
      <c r="E314" s="419"/>
      <c r="F314" s="420"/>
      <c r="G314" s="420" t="s">
        <v>327</v>
      </c>
      <c r="H314" s="517"/>
    </row>
    <row r="315" spans="1:9" ht="28" customHeight="1" thickTop="1" thickBot="1">
      <c r="A315" s="455"/>
      <c r="B315" s="166"/>
      <c r="C315" s="309" t="s">
        <v>367</v>
      </c>
      <c r="D315" s="418"/>
      <c r="E315" s="419"/>
      <c r="F315" s="420"/>
      <c r="G315" s="420" t="s">
        <v>327</v>
      </c>
      <c r="H315" s="517"/>
    </row>
    <row r="316" spans="1:9" ht="15" customHeight="1" thickTop="1" thickBot="1">
      <c r="A316" s="455"/>
      <c r="B316" s="166"/>
      <c r="C316" s="334" t="s">
        <v>369</v>
      </c>
      <c r="D316" s="418"/>
      <c r="E316" s="419"/>
      <c r="F316" s="420"/>
      <c r="G316" s="420" t="s">
        <v>327</v>
      </c>
      <c r="H316" s="517"/>
    </row>
    <row r="317" spans="1:9" ht="15" customHeight="1" thickTop="1" thickBot="1">
      <c r="A317" s="455"/>
      <c r="B317" s="166"/>
      <c r="C317" s="309" t="s">
        <v>295</v>
      </c>
      <c r="D317" s="418">
        <v>1</v>
      </c>
      <c r="E317" s="419" t="s">
        <v>42</v>
      </c>
      <c r="F317" s="420">
        <v>10000</v>
      </c>
      <c r="G317" s="420">
        <f t="shared" si="28"/>
        <v>10000</v>
      </c>
      <c r="H317" s="517"/>
    </row>
    <row r="318" spans="1:9" ht="20.25" customHeight="1" thickTop="1" thickBot="1">
      <c r="A318" s="455"/>
      <c r="B318" s="33"/>
      <c r="C318" s="311"/>
      <c r="D318" s="525"/>
      <c r="E318" s="526"/>
      <c r="F318" s="531"/>
      <c r="G318" s="528"/>
      <c r="H318" s="529">
        <f>SUM(G272:G318)</f>
        <v>315000</v>
      </c>
      <c r="I318">
        <f>SUM(G272:G318)</f>
        <v>315000</v>
      </c>
    </row>
    <row r="319" spans="1:9" ht="9.6" customHeight="1">
      <c r="A319" s="457"/>
      <c r="B319" s="164"/>
      <c r="C319" s="305"/>
      <c r="D319" s="509"/>
      <c r="E319" s="530"/>
      <c r="F319" s="511"/>
      <c r="G319" s="512"/>
      <c r="H319" s="513"/>
    </row>
    <row r="320" spans="1:9" ht="20.25" customHeight="1">
      <c r="A320" s="458">
        <v>15450</v>
      </c>
      <c r="B320" s="169" t="s">
        <v>217</v>
      </c>
      <c r="C320" s="305"/>
      <c r="D320" s="509"/>
      <c r="E320" s="510"/>
      <c r="F320" s="511"/>
      <c r="G320" s="512"/>
      <c r="H320" s="513"/>
    </row>
    <row r="321" spans="1:9" ht="20.25" customHeight="1" thickBot="1">
      <c r="A321" s="455"/>
      <c r="B321" s="33"/>
      <c r="C321" s="308"/>
      <c r="D321" s="525"/>
      <c r="E321" s="526"/>
      <c r="F321" s="527"/>
      <c r="G321" s="528"/>
      <c r="H321" s="529" t="s">
        <v>408</v>
      </c>
    </row>
    <row r="322" spans="1:9" ht="15" customHeight="1">
      <c r="A322" s="457"/>
      <c r="B322" s="166"/>
      <c r="C322" s="305"/>
      <c r="D322" s="509"/>
      <c r="E322" s="530"/>
      <c r="F322" s="511"/>
      <c r="G322" s="512"/>
      <c r="H322" s="513"/>
    </row>
    <row r="323" spans="1:9" ht="20.25" customHeight="1" thickBot="1">
      <c r="A323" s="458">
        <v>15500</v>
      </c>
      <c r="B323" s="163" t="s">
        <v>145</v>
      </c>
      <c r="C323" s="305"/>
      <c r="D323" s="509"/>
      <c r="E323" s="510"/>
      <c r="F323" s="511"/>
      <c r="G323" s="512" t="s">
        <v>71</v>
      </c>
      <c r="H323" s="513"/>
    </row>
    <row r="324" spans="1:9" ht="20.399999999999999" thickBot="1">
      <c r="A324" s="455"/>
      <c r="B324" s="166"/>
      <c r="C324" s="312" t="s">
        <v>310</v>
      </c>
      <c r="D324" s="537">
        <v>6</v>
      </c>
      <c r="E324" s="538" t="s">
        <v>240</v>
      </c>
      <c r="F324" s="542">
        <v>3000</v>
      </c>
      <c r="G324" s="542">
        <f t="shared" ref="G324:G327" si="29">ROUND(SUM(D324)*F324,0)</f>
        <v>18000</v>
      </c>
      <c r="H324" s="513"/>
    </row>
    <row r="325" spans="1:9" ht="15" customHeight="1" thickBot="1">
      <c r="A325" s="455"/>
      <c r="B325" s="166"/>
      <c r="C325" s="312" t="s">
        <v>311</v>
      </c>
      <c r="D325" s="537">
        <v>1</v>
      </c>
      <c r="E325" s="538" t="s">
        <v>42</v>
      </c>
      <c r="F325" s="542">
        <v>20000</v>
      </c>
      <c r="G325" s="542">
        <f t="shared" si="29"/>
        <v>20000</v>
      </c>
      <c r="H325" s="513"/>
    </row>
    <row r="326" spans="1:9" ht="15" customHeight="1" thickBot="1">
      <c r="A326" s="455"/>
      <c r="B326" s="166"/>
      <c r="C326" s="312" t="s">
        <v>312</v>
      </c>
      <c r="D326" s="537">
        <v>70</v>
      </c>
      <c r="E326" s="538" t="s">
        <v>69</v>
      </c>
      <c r="F326" s="542">
        <v>250</v>
      </c>
      <c r="G326" s="542">
        <f t="shared" si="29"/>
        <v>17500</v>
      </c>
      <c r="H326" s="513"/>
    </row>
    <row r="327" spans="1:9" ht="15" customHeight="1" thickBot="1">
      <c r="A327" s="455"/>
      <c r="B327" s="166"/>
      <c r="C327" s="312" t="s">
        <v>293</v>
      </c>
      <c r="D327" s="537">
        <v>1</v>
      </c>
      <c r="E327" s="538" t="s">
        <v>42</v>
      </c>
      <c r="F327" s="542">
        <v>5000</v>
      </c>
      <c r="G327" s="542">
        <f t="shared" si="29"/>
        <v>5000</v>
      </c>
      <c r="H327" s="513"/>
    </row>
    <row r="328" spans="1:9" ht="15" customHeight="1" thickBot="1">
      <c r="A328" s="455"/>
      <c r="B328" s="166"/>
      <c r="C328" s="312" t="s">
        <v>313</v>
      </c>
      <c r="D328" s="537">
        <v>1</v>
      </c>
      <c r="E328" s="538" t="s">
        <v>42</v>
      </c>
      <c r="F328" s="542">
        <v>7500</v>
      </c>
      <c r="G328" s="542">
        <f t="shared" ref="G328:G329" si="30">ROUND(SUM(D328)*F328,0)</f>
        <v>7500</v>
      </c>
      <c r="H328" s="513"/>
    </row>
    <row r="329" spans="1:9" ht="15" customHeight="1" thickBot="1">
      <c r="A329" s="455"/>
      <c r="B329" s="166"/>
      <c r="C329" s="312" t="s">
        <v>409</v>
      </c>
      <c r="D329" s="537">
        <v>1</v>
      </c>
      <c r="E329" s="538" t="s">
        <v>42</v>
      </c>
      <c r="F329" s="542">
        <v>2400</v>
      </c>
      <c r="G329" s="542">
        <f t="shared" si="30"/>
        <v>2400</v>
      </c>
      <c r="H329" s="513"/>
    </row>
    <row r="330" spans="1:9" ht="19.5" customHeight="1" thickBot="1">
      <c r="A330" s="455"/>
      <c r="B330" s="33"/>
      <c r="C330" s="311"/>
      <c r="D330" s="525"/>
      <c r="E330" s="558"/>
      <c r="F330" s="531"/>
      <c r="G330" s="528"/>
      <c r="H330" s="529">
        <f>SUM(G323:G330)</f>
        <v>70400</v>
      </c>
      <c r="I330">
        <f>SUM(G323:G330)</f>
        <v>70400</v>
      </c>
    </row>
    <row r="331" spans="1:9" ht="9.4" customHeight="1">
      <c r="A331" s="457"/>
      <c r="B331" s="164"/>
      <c r="C331" s="305"/>
      <c r="D331" s="509"/>
      <c r="E331" s="530"/>
      <c r="F331" s="511"/>
      <c r="G331" s="512"/>
      <c r="H331" s="513"/>
    </row>
    <row r="332" spans="1:9" ht="20.25" customHeight="1" thickBot="1">
      <c r="A332" s="458">
        <v>15600</v>
      </c>
      <c r="B332" s="163" t="s">
        <v>57</v>
      </c>
      <c r="C332" s="305"/>
      <c r="D332" s="509"/>
      <c r="E332" s="510"/>
      <c r="F332" s="511"/>
      <c r="G332" s="512" t="s">
        <v>71</v>
      </c>
      <c r="H332" s="513"/>
    </row>
    <row r="333" spans="1:9" ht="32.65" customHeight="1" thickTop="1" thickBot="1">
      <c r="A333" s="455"/>
      <c r="B333" s="166"/>
      <c r="C333" s="309" t="s">
        <v>471</v>
      </c>
      <c r="D333" s="418">
        <v>1</v>
      </c>
      <c r="E333" s="419" t="s">
        <v>42</v>
      </c>
      <c r="F333" s="420">
        <v>495000</v>
      </c>
      <c r="G333" s="420">
        <f>+F333*D333</f>
        <v>495000</v>
      </c>
      <c r="H333" s="517"/>
    </row>
    <row r="334" spans="1:9" ht="34.5" customHeight="1" thickTop="1" thickBot="1">
      <c r="A334" s="455"/>
      <c r="B334" s="166"/>
      <c r="C334" s="309" t="s">
        <v>472</v>
      </c>
      <c r="D334" s="418"/>
      <c r="E334" s="419"/>
      <c r="F334" s="420"/>
      <c r="G334" s="540" t="s">
        <v>327</v>
      </c>
      <c r="H334" s="517"/>
    </row>
    <row r="335" spans="1:9" ht="34.5" customHeight="1" thickTop="1" thickBot="1">
      <c r="A335" s="455"/>
      <c r="B335" s="166"/>
      <c r="C335" s="309" t="s">
        <v>573</v>
      </c>
      <c r="D335" s="418"/>
      <c r="E335" s="419"/>
      <c r="F335" s="420"/>
      <c r="G335" s="540" t="s">
        <v>327</v>
      </c>
      <c r="H335" s="517"/>
    </row>
    <row r="336" spans="1:9" ht="15" customHeight="1" thickTop="1" thickBot="1">
      <c r="A336" s="455"/>
      <c r="B336" s="166"/>
      <c r="C336" s="309" t="s">
        <v>473</v>
      </c>
      <c r="D336" s="418"/>
      <c r="E336" s="419"/>
      <c r="F336" s="420"/>
      <c r="G336" s="540" t="s">
        <v>327</v>
      </c>
      <c r="H336" s="517"/>
    </row>
    <row r="337" spans="1:9" ht="15" customHeight="1" thickTop="1" thickBot="1">
      <c r="A337" s="455"/>
      <c r="B337" s="166"/>
      <c r="C337" s="309" t="s">
        <v>474</v>
      </c>
      <c r="D337" s="418"/>
      <c r="E337" s="419"/>
      <c r="F337" s="420"/>
      <c r="G337" s="540" t="s">
        <v>327</v>
      </c>
      <c r="H337" s="517"/>
    </row>
    <row r="338" spans="1:9" ht="15" customHeight="1" thickTop="1" thickBot="1">
      <c r="A338" s="455"/>
      <c r="B338" s="166"/>
      <c r="C338" s="309" t="s">
        <v>475</v>
      </c>
      <c r="D338" s="418"/>
      <c r="E338" s="419"/>
      <c r="F338" s="420"/>
      <c r="G338" s="540" t="s">
        <v>327</v>
      </c>
      <c r="H338" s="517"/>
    </row>
    <row r="339" spans="1:9" ht="15" customHeight="1" thickTop="1" thickBot="1">
      <c r="A339" s="455"/>
      <c r="B339" s="166"/>
      <c r="C339" s="309" t="s">
        <v>476</v>
      </c>
      <c r="D339" s="418"/>
      <c r="E339" s="419"/>
      <c r="F339" s="420"/>
      <c r="G339" s="540" t="s">
        <v>327</v>
      </c>
      <c r="H339" s="517"/>
    </row>
    <row r="340" spans="1:9" ht="15" customHeight="1" thickTop="1" thickBot="1">
      <c r="A340" s="455"/>
      <c r="B340" s="166"/>
      <c r="C340" s="309" t="s">
        <v>610</v>
      </c>
      <c r="D340" s="418"/>
      <c r="E340" s="419"/>
      <c r="F340" s="420"/>
      <c r="G340" s="540"/>
      <c r="H340" s="517"/>
    </row>
    <row r="341" spans="1:9" ht="15" customHeight="1" thickTop="1" thickBot="1">
      <c r="A341" s="455"/>
      <c r="B341" s="166"/>
      <c r="C341" s="309" t="s">
        <v>477</v>
      </c>
      <c r="D341" s="418"/>
      <c r="E341" s="419"/>
      <c r="F341" s="420"/>
      <c r="G341" s="540" t="s">
        <v>327</v>
      </c>
      <c r="H341" s="517"/>
    </row>
    <row r="342" spans="1:9" ht="15" customHeight="1" thickTop="1" thickBot="1">
      <c r="A342" s="455"/>
      <c r="B342" s="166"/>
      <c r="C342" s="309" t="s">
        <v>478</v>
      </c>
      <c r="D342" s="418"/>
      <c r="E342" s="419"/>
      <c r="F342" s="420"/>
      <c r="G342" s="540" t="s">
        <v>327</v>
      </c>
      <c r="H342" s="517"/>
    </row>
    <row r="343" spans="1:9" ht="15" customHeight="1" thickTop="1" thickBot="1">
      <c r="A343" s="455"/>
      <c r="B343" s="166"/>
      <c r="C343" s="309" t="s">
        <v>479</v>
      </c>
      <c r="D343" s="418"/>
      <c r="E343" s="419"/>
      <c r="F343" s="420"/>
      <c r="G343" s="540" t="s">
        <v>327</v>
      </c>
      <c r="H343" s="517"/>
    </row>
    <row r="344" spans="1:9" ht="20.25" customHeight="1" thickTop="1" thickBot="1">
      <c r="A344" s="455"/>
      <c r="B344" s="33"/>
      <c r="C344" s="311"/>
      <c r="D344" s="525"/>
      <c r="E344" s="526"/>
      <c r="F344" s="531"/>
      <c r="G344" s="528"/>
      <c r="H344" s="529">
        <f>SUM(G332:G344)</f>
        <v>495000</v>
      </c>
      <c r="I344">
        <f>SUM(G333:G344)</f>
        <v>495000</v>
      </c>
    </row>
    <row r="345" spans="1:9" ht="8.5" customHeight="1">
      <c r="A345" s="457"/>
      <c r="B345" s="79"/>
      <c r="C345" s="323"/>
      <c r="D345" s="509"/>
      <c r="E345" s="510"/>
      <c r="F345" s="511"/>
      <c r="G345" s="512"/>
      <c r="H345" s="513"/>
    </row>
    <row r="346" spans="1:9" ht="8.5" customHeight="1">
      <c r="A346" s="455"/>
      <c r="B346" s="79"/>
      <c r="C346" s="323"/>
      <c r="D346" s="509"/>
      <c r="E346" s="510"/>
      <c r="F346" s="511"/>
      <c r="G346" s="512"/>
      <c r="H346" s="513"/>
    </row>
    <row r="347" spans="1:9" ht="20.399999999999999" thickBot="1">
      <c r="A347" s="458">
        <v>16000</v>
      </c>
      <c r="B347" s="163" t="s">
        <v>54</v>
      </c>
      <c r="C347" s="305"/>
      <c r="D347" s="509"/>
      <c r="E347" s="510"/>
      <c r="F347" s="511"/>
      <c r="G347" s="512" t="s">
        <v>71</v>
      </c>
      <c r="H347" s="513"/>
    </row>
    <row r="348" spans="1:9" ht="20.7" thickTop="1" thickBot="1">
      <c r="A348" s="458"/>
      <c r="B348" s="163"/>
      <c r="C348" s="309" t="s">
        <v>414</v>
      </c>
      <c r="D348" s="418">
        <v>1</v>
      </c>
      <c r="E348" s="419" t="s">
        <v>42</v>
      </c>
      <c r="F348" s="420">
        <v>8000</v>
      </c>
      <c r="G348" s="420">
        <f>+F348*D348</f>
        <v>8000</v>
      </c>
      <c r="H348" s="517"/>
    </row>
    <row r="349" spans="1:9" ht="35.1" customHeight="1" thickTop="1" thickBot="1">
      <c r="A349" s="455"/>
      <c r="B349" s="166"/>
      <c r="C349" s="309" t="s">
        <v>314</v>
      </c>
      <c r="D349" s="418">
        <v>1</v>
      </c>
      <c r="E349" s="419" t="s">
        <v>42</v>
      </c>
      <c r="F349" s="420">
        <v>12000</v>
      </c>
      <c r="G349" s="420">
        <f>+F349*D349</f>
        <v>12000</v>
      </c>
      <c r="H349" s="517"/>
    </row>
    <row r="350" spans="1:9" ht="19.899999999999999" customHeight="1" thickTop="1" thickBot="1">
      <c r="A350" s="455"/>
      <c r="B350" s="166"/>
      <c r="C350" s="358" t="s">
        <v>452</v>
      </c>
      <c r="D350" s="418">
        <v>1</v>
      </c>
      <c r="E350" s="419" t="s">
        <v>42</v>
      </c>
      <c r="F350" s="420">
        <v>73000</v>
      </c>
      <c r="G350" s="420">
        <f t="shared" ref="G350:G381" si="31">ROUND(SUM(D350)*F350,0)</f>
        <v>73000</v>
      </c>
      <c r="H350" s="517"/>
    </row>
    <row r="351" spans="1:9" ht="19.899999999999999" customHeight="1" thickTop="1" thickBot="1">
      <c r="A351" s="455"/>
      <c r="B351" s="166"/>
      <c r="C351" s="309" t="s">
        <v>453</v>
      </c>
      <c r="D351" s="418">
        <v>1</v>
      </c>
      <c r="E351" s="419" t="s">
        <v>69</v>
      </c>
      <c r="F351" s="420"/>
      <c r="G351" s="420" t="s">
        <v>327</v>
      </c>
      <c r="H351" s="517"/>
    </row>
    <row r="352" spans="1:9" ht="19.899999999999999" customHeight="1" thickTop="1" thickBot="1">
      <c r="A352" s="455"/>
      <c r="B352" s="166"/>
      <c r="C352" s="309" t="s">
        <v>467</v>
      </c>
      <c r="D352" s="418">
        <v>1</v>
      </c>
      <c r="E352" s="419" t="s">
        <v>69</v>
      </c>
      <c r="F352" s="420"/>
      <c r="G352" s="420" t="s">
        <v>327</v>
      </c>
      <c r="H352" s="517"/>
    </row>
    <row r="353" spans="1:8" ht="19.899999999999999" customHeight="1" thickTop="1" thickBot="1">
      <c r="A353" s="455"/>
      <c r="B353" s="166"/>
      <c r="C353" s="309" t="s">
        <v>454</v>
      </c>
      <c r="D353" s="418">
        <v>1</v>
      </c>
      <c r="E353" s="419" t="s">
        <v>69</v>
      </c>
      <c r="F353" s="420"/>
      <c r="G353" s="420" t="s">
        <v>327</v>
      </c>
      <c r="H353" s="517"/>
    </row>
    <row r="354" spans="1:8" ht="19.899999999999999" customHeight="1" thickTop="1" thickBot="1">
      <c r="A354" s="455"/>
      <c r="B354" s="166"/>
      <c r="C354" s="309" t="s">
        <v>455</v>
      </c>
      <c r="D354" s="418">
        <v>1</v>
      </c>
      <c r="E354" s="419" t="s">
        <v>69</v>
      </c>
      <c r="F354" s="420"/>
      <c r="G354" s="420" t="s">
        <v>327</v>
      </c>
      <c r="H354" s="517"/>
    </row>
    <row r="355" spans="1:8" ht="19.899999999999999" customHeight="1" thickTop="1" thickBot="1">
      <c r="A355" s="455"/>
      <c r="B355" s="166"/>
      <c r="C355" s="309" t="s">
        <v>456</v>
      </c>
      <c r="D355" s="418">
        <v>1</v>
      </c>
      <c r="E355" s="419" t="s">
        <v>69</v>
      </c>
      <c r="F355" s="420"/>
      <c r="G355" s="420" t="s">
        <v>327</v>
      </c>
      <c r="H355" s="517"/>
    </row>
    <row r="356" spans="1:8" ht="19.899999999999999" customHeight="1" thickTop="1" thickBot="1">
      <c r="A356" s="455"/>
      <c r="B356" s="166"/>
      <c r="C356" s="309" t="s">
        <v>457</v>
      </c>
      <c r="D356" s="418">
        <v>1</v>
      </c>
      <c r="E356" s="419" t="s">
        <v>69</v>
      </c>
      <c r="F356" s="420"/>
      <c r="G356" s="420" t="s">
        <v>327</v>
      </c>
      <c r="H356" s="517"/>
    </row>
    <row r="357" spans="1:8" ht="19.899999999999999" customHeight="1" thickTop="1" thickBot="1">
      <c r="A357" s="455"/>
      <c r="B357" s="166"/>
      <c r="C357" s="309" t="s">
        <v>458</v>
      </c>
      <c r="D357" s="418">
        <v>1</v>
      </c>
      <c r="E357" s="419" t="s">
        <v>69</v>
      </c>
      <c r="F357" s="420"/>
      <c r="G357" s="420" t="s">
        <v>327</v>
      </c>
      <c r="H357" s="517"/>
    </row>
    <row r="358" spans="1:8" ht="19.899999999999999" customHeight="1" thickTop="1" thickBot="1">
      <c r="A358" s="455"/>
      <c r="B358" s="166"/>
      <c r="C358" s="309" t="s">
        <v>459</v>
      </c>
      <c r="D358" s="418">
        <v>1</v>
      </c>
      <c r="E358" s="419" t="s">
        <v>69</v>
      </c>
      <c r="F358" s="420"/>
      <c r="G358" s="420" t="s">
        <v>327</v>
      </c>
      <c r="H358" s="517"/>
    </row>
    <row r="359" spans="1:8" ht="19.899999999999999" customHeight="1" thickTop="1" thickBot="1">
      <c r="A359" s="455"/>
      <c r="B359" s="166"/>
      <c r="C359" s="309" t="s">
        <v>460</v>
      </c>
      <c r="D359" s="418">
        <v>1</v>
      </c>
      <c r="E359" s="419" t="s">
        <v>69</v>
      </c>
      <c r="F359" s="420"/>
      <c r="G359" s="420" t="s">
        <v>327</v>
      </c>
      <c r="H359" s="517"/>
    </row>
    <row r="360" spans="1:8" ht="19.899999999999999" customHeight="1" thickTop="1" thickBot="1">
      <c r="A360" s="455"/>
      <c r="B360" s="166"/>
      <c r="C360" s="309" t="s">
        <v>461</v>
      </c>
      <c r="D360" s="418">
        <v>1</v>
      </c>
      <c r="E360" s="419" t="s">
        <v>69</v>
      </c>
      <c r="F360" s="420"/>
      <c r="G360" s="420" t="s">
        <v>327</v>
      </c>
      <c r="H360" s="517"/>
    </row>
    <row r="361" spans="1:8" ht="19.899999999999999" customHeight="1" thickTop="1" thickBot="1">
      <c r="A361" s="455"/>
      <c r="B361" s="166"/>
      <c r="C361" s="309" t="s">
        <v>462</v>
      </c>
      <c r="D361" s="418">
        <v>1</v>
      </c>
      <c r="E361" s="419" t="s">
        <v>69</v>
      </c>
      <c r="F361" s="420"/>
      <c r="G361" s="420" t="s">
        <v>327</v>
      </c>
      <c r="H361" s="517"/>
    </row>
    <row r="362" spans="1:8" ht="19.899999999999999" customHeight="1" thickTop="1" thickBot="1">
      <c r="A362" s="455"/>
      <c r="B362" s="166"/>
      <c r="C362" s="309" t="s">
        <v>463</v>
      </c>
      <c r="D362" s="418">
        <v>1</v>
      </c>
      <c r="E362" s="419" t="s">
        <v>69</v>
      </c>
      <c r="F362" s="420"/>
      <c r="G362" s="420" t="s">
        <v>327</v>
      </c>
      <c r="H362" s="517"/>
    </row>
    <row r="363" spans="1:8" ht="19.899999999999999" customHeight="1" thickTop="1" thickBot="1">
      <c r="A363" s="455"/>
      <c r="B363" s="166"/>
      <c r="C363" s="309" t="s">
        <v>464</v>
      </c>
      <c r="D363" s="418">
        <v>1</v>
      </c>
      <c r="E363" s="419" t="s">
        <v>69</v>
      </c>
      <c r="F363" s="420"/>
      <c r="G363" s="420" t="s">
        <v>327</v>
      </c>
      <c r="H363" s="517"/>
    </row>
    <row r="364" spans="1:8" ht="19.899999999999999" customHeight="1" thickTop="1" thickBot="1">
      <c r="A364" s="455"/>
      <c r="B364" s="166"/>
      <c r="C364" s="309" t="s">
        <v>465</v>
      </c>
      <c r="D364" s="418">
        <v>10</v>
      </c>
      <c r="E364" s="419" t="s">
        <v>69</v>
      </c>
      <c r="F364" s="420"/>
      <c r="G364" s="420" t="s">
        <v>327</v>
      </c>
      <c r="H364" s="517"/>
    </row>
    <row r="365" spans="1:8" ht="19.899999999999999" customHeight="1" thickTop="1" thickBot="1">
      <c r="A365" s="455"/>
      <c r="B365" s="166"/>
      <c r="C365" s="309" t="s">
        <v>466</v>
      </c>
      <c r="D365" s="418">
        <v>1</v>
      </c>
      <c r="E365" s="419" t="s">
        <v>69</v>
      </c>
      <c r="F365" s="420"/>
      <c r="G365" s="420" t="s">
        <v>327</v>
      </c>
      <c r="H365" s="517"/>
    </row>
    <row r="366" spans="1:8" ht="19.899999999999999" customHeight="1" thickTop="1" thickBot="1">
      <c r="A366" s="455"/>
      <c r="B366" s="166"/>
      <c r="C366" s="647" t="s">
        <v>468</v>
      </c>
      <c r="D366" s="648">
        <v>1</v>
      </c>
      <c r="E366" s="649" t="s">
        <v>42</v>
      </c>
      <c r="F366" s="420">
        <v>20000</v>
      </c>
      <c r="G366" s="420">
        <f t="shared" si="31"/>
        <v>20000</v>
      </c>
      <c r="H366" s="517"/>
    </row>
    <row r="367" spans="1:8" ht="19.899999999999999" customHeight="1" thickTop="1" thickBot="1">
      <c r="A367" s="455"/>
      <c r="B367" s="166"/>
      <c r="C367" s="647" t="s">
        <v>574</v>
      </c>
      <c r="D367" s="648">
        <v>1</v>
      </c>
      <c r="E367" s="649" t="s">
        <v>239</v>
      </c>
      <c r="F367" s="420">
        <v>5000</v>
      </c>
      <c r="G367" s="420">
        <f t="shared" si="31"/>
        <v>5000</v>
      </c>
      <c r="H367" s="517"/>
    </row>
    <row r="368" spans="1:8" ht="15" customHeight="1" thickTop="1" thickBot="1">
      <c r="A368" s="455"/>
      <c r="B368" s="166"/>
      <c r="C368" s="358" t="s">
        <v>427</v>
      </c>
      <c r="D368" s="418">
        <v>1</v>
      </c>
      <c r="E368" s="419" t="s">
        <v>416</v>
      </c>
      <c r="F368" s="420">
        <v>30000</v>
      </c>
      <c r="G368" s="420">
        <f t="shared" si="31"/>
        <v>30000</v>
      </c>
      <c r="H368" s="517"/>
    </row>
    <row r="369" spans="1:8" ht="15" customHeight="1" thickTop="1" thickBot="1">
      <c r="A369" s="455"/>
      <c r="B369" s="166"/>
      <c r="C369" s="332" t="s">
        <v>417</v>
      </c>
      <c r="D369" s="418">
        <v>1</v>
      </c>
      <c r="E369" s="419" t="s">
        <v>69</v>
      </c>
      <c r="F369" s="420"/>
      <c r="G369" s="420" t="s">
        <v>327</v>
      </c>
      <c r="H369" s="517"/>
    </row>
    <row r="370" spans="1:8" ht="15" customHeight="1" thickTop="1" thickBot="1">
      <c r="A370" s="455"/>
      <c r="B370" s="166"/>
      <c r="C370" s="332" t="s">
        <v>418</v>
      </c>
      <c r="D370" s="418">
        <v>19</v>
      </c>
      <c r="E370" s="419" t="s">
        <v>69</v>
      </c>
      <c r="F370" s="420"/>
      <c r="G370" s="420" t="s">
        <v>327</v>
      </c>
      <c r="H370" s="517"/>
    </row>
    <row r="371" spans="1:8" ht="15" customHeight="1" thickTop="1" thickBot="1">
      <c r="A371" s="455"/>
      <c r="B371" s="166"/>
      <c r="C371" s="332" t="s">
        <v>419</v>
      </c>
      <c r="D371" s="418">
        <v>2</v>
      </c>
      <c r="E371" s="419" t="s">
        <v>69</v>
      </c>
      <c r="F371" s="420"/>
      <c r="G371" s="420" t="s">
        <v>327</v>
      </c>
      <c r="H371" s="517"/>
    </row>
    <row r="372" spans="1:8" ht="15" customHeight="1" thickTop="1" thickBot="1">
      <c r="A372" s="455"/>
      <c r="B372" s="166"/>
      <c r="C372" s="332" t="s">
        <v>420</v>
      </c>
      <c r="D372" s="418">
        <v>2</v>
      </c>
      <c r="E372" s="419" t="s">
        <v>69</v>
      </c>
      <c r="F372" s="420"/>
      <c r="G372" s="420" t="s">
        <v>327</v>
      </c>
      <c r="H372" s="517"/>
    </row>
    <row r="373" spans="1:8" ht="15" customHeight="1" thickTop="1" thickBot="1">
      <c r="A373" s="455"/>
      <c r="B373" s="166"/>
      <c r="C373" s="332" t="s">
        <v>421</v>
      </c>
      <c r="D373" s="418">
        <v>60</v>
      </c>
      <c r="E373" s="419" t="s">
        <v>69</v>
      </c>
      <c r="F373" s="420"/>
      <c r="G373" s="420" t="s">
        <v>327</v>
      </c>
      <c r="H373" s="517"/>
    </row>
    <row r="374" spans="1:8" ht="15" customHeight="1" thickTop="1" thickBot="1">
      <c r="A374" s="455"/>
      <c r="B374" s="166"/>
      <c r="C374" s="332" t="s">
        <v>422</v>
      </c>
      <c r="D374" s="418">
        <v>10</v>
      </c>
      <c r="E374" s="419" t="s">
        <v>69</v>
      </c>
      <c r="F374" s="420"/>
      <c r="G374" s="420" t="s">
        <v>327</v>
      </c>
      <c r="H374" s="517"/>
    </row>
    <row r="375" spans="1:8" ht="15" customHeight="1" thickTop="1" thickBot="1">
      <c r="A375" s="455"/>
      <c r="B375" s="166"/>
      <c r="C375" s="332" t="s">
        <v>423</v>
      </c>
      <c r="D375" s="418">
        <v>13</v>
      </c>
      <c r="E375" s="419" t="s">
        <v>69</v>
      </c>
      <c r="F375" s="420"/>
      <c r="G375" s="420" t="s">
        <v>327</v>
      </c>
      <c r="H375" s="517"/>
    </row>
    <row r="376" spans="1:8" ht="15" customHeight="1" thickTop="1" thickBot="1">
      <c r="A376" s="455"/>
      <c r="B376" s="166"/>
      <c r="C376" s="332" t="s">
        <v>424</v>
      </c>
      <c r="D376" s="418">
        <v>5</v>
      </c>
      <c r="E376" s="419" t="s">
        <v>69</v>
      </c>
      <c r="F376" s="420"/>
      <c r="G376" s="420" t="s">
        <v>327</v>
      </c>
      <c r="H376" s="517"/>
    </row>
    <row r="377" spans="1:8" ht="15" customHeight="1" thickTop="1" thickBot="1">
      <c r="A377" s="455"/>
      <c r="B377" s="166"/>
      <c r="C377" s="332"/>
      <c r="D377" s="418"/>
      <c r="E377" s="419"/>
      <c r="F377" s="420"/>
      <c r="G377" s="420"/>
      <c r="H377" s="517"/>
    </row>
    <row r="378" spans="1:8" ht="15" customHeight="1" thickTop="1" thickBot="1">
      <c r="A378" s="455"/>
      <c r="B378" s="166"/>
      <c r="C378" s="446" t="s">
        <v>580</v>
      </c>
      <c r="D378" s="418"/>
      <c r="E378" s="419"/>
      <c r="F378" s="420"/>
      <c r="G378" s="420"/>
      <c r="H378" s="517"/>
    </row>
    <row r="379" spans="1:8" ht="15" customHeight="1" thickTop="1" thickBot="1">
      <c r="A379" s="455"/>
      <c r="B379" s="166"/>
      <c r="C379" s="332" t="s">
        <v>425</v>
      </c>
      <c r="D379" s="418">
        <v>9</v>
      </c>
      <c r="E379" s="419" t="s">
        <v>69</v>
      </c>
      <c r="F379" s="420"/>
      <c r="G379" s="420" t="s">
        <v>327</v>
      </c>
      <c r="H379" s="517"/>
    </row>
    <row r="380" spans="1:8" ht="15" customHeight="1" thickTop="1" thickBot="1">
      <c r="A380" s="455"/>
      <c r="B380" s="166"/>
      <c r="C380" s="332" t="s">
        <v>426</v>
      </c>
      <c r="D380" s="418">
        <v>6</v>
      </c>
      <c r="E380" s="419" t="s">
        <v>69</v>
      </c>
      <c r="F380" s="420"/>
      <c r="G380" s="420" t="s">
        <v>327</v>
      </c>
      <c r="H380" s="517"/>
    </row>
    <row r="381" spans="1:8" ht="15" customHeight="1" thickTop="1" thickBot="1">
      <c r="A381" s="455"/>
      <c r="B381" s="166"/>
      <c r="C381" s="358" t="s">
        <v>438</v>
      </c>
      <c r="D381" s="418">
        <v>1</v>
      </c>
      <c r="E381" s="419" t="s">
        <v>416</v>
      </c>
      <c r="F381" s="420">
        <v>10000</v>
      </c>
      <c r="G381" s="420">
        <f t="shared" si="31"/>
        <v>10000</v>
      </c>
      <c r="H381" s="517"/>
    </row>
    <row r="382" spans="1:8" ht="15" customHeight="1" thickTop="1" thickBot="1">
      <c r="A382" s="455"/>
      <c r="B382" s="166"/>
      <c r="C382" s="332" t="s">
        <v>428</v>
      </c>
      <c r="D382" s="418">
        <v>11</v>
      </c>
      <c r="E382" s="419"/>
      <c r="F382" s="420"/>
      <c r="G382" s="420"/>
      <c r="H382" s="517"/>
    </row>
    <row r="383" spans="1:8" ht="15" customHeight="1" thickTop="1" thickBot="1">
      <c r="A383" s="455"/>
      <c r="B383" s="166"/>
      <c r="C383" s="332" t="s">
        <v>429</v>
      </c>
      <c r="D383" s="418">
        <v>1</v>
      </c>
      <c r="E383" s="419"/>
      <c r="F383" s="420"/>
      <c r="G383" s="420"/>
      <c r="H383" s="517"/>
    </row>
    <row r="384" spans="1:8" ht="15" customHeight="1" thickTop="1" thickBot="1">
      <c r="A384" s="455"/>
      <c r="B384" s="166"/>
      <c r="C384" s="332" t="s">
        <v>430</v>
      </c>
      <c r="D384" s="418">
        <v>1</v>
      </c>
      <c r="E384" s="419"/>
      <c r="F384" s="420"/>
      <c r="G384" s="420"/>
      <c r="H384" s="517"/>
    </row>
    <row r="385" spans="1:8" ht="15" customHeight="1" thickTop="1" thickBot="1">
      <c r="A385" s="455"/>
      <c r="B385" s="166"/>
      <c r="C385" s="332" t="s">
        <v>431</v>
      </c>
      <c r="D385" s="418">
        <v>1</v>
      </c>
      <c r="E385" s="419"/>
      <c r="F385" s="420"/>
      <c r="G385" s="420"/>
      <c r="H385" s="517"/>
    </row>
    <row r="386" spans="1:8" ht="15" customHeight="1" thickTop="1" thickBot="1">
      <c r="A386" s="455"/>
      <c r="B386" s="166"/>
      <c r="C386" s="332" t="s">
        <v>432</v>
      </c>
      <c r="D386" s="418">
        <v>1</v>
      </c>
      <c r="E386" s="419"/>
      <c r="F386" s="420"/>
      <c r="G386" s="420"/>
      <c r="H386" s="517"/>
    </row>
    <row r="387" spans="1:8" ht="15" customHeight="1" thickTop="1" thickBot="1">
      <c r="A387" s="455"/>
      <c r="B387" s="166"/>
      <c r="C387" s="332" t="s">
        <v>433</v>
      </c>
      <c r="D387" s="418">
        <v>1</v>
      </c>
      <c r="E387" s="419"/>
      <c r="F387" s="420"/>
      <c r="G387" s="420"/>
      <c r="H387" s="517"/>
    </row>
    <row r="388" spans="1:8" ht="15" customHeight="1" thickTop="1" thickBot="1">
      <c r="A388" s="455"/>
      <c r="B388" s="166"/>
      <c r="C388" s="332" t="s">
        <v>434</v>
      </c>
      <c r="D388" s="418">
        <v>1</v>
      </c>
      <c r="E388" s="419"/>
      <c r="F388" s="420"/>
      <c r="G388" s="420"/>
      <c r="H388" s="517"/>
    </row>
    <row r="389" spans="1:8" ht="15" customHeight="1" thickTop="1" thickBot="1">
      <c r="A389" s="455"/>
      <c r="B389" s="166"/>
      <c r="C389" s="332" t="s">
        <v>435</v>
      </c>
      <c r="D389" s="418">
        <v>1</v>
      </c>
      <c r="E389" s="419"/>
      <c r="F389" s="420"/>
      <c r="G389" s="420"/>
      <c r="H389" s="517"/>
    </row>
    <row r="390" spans="1:8" ht="15" customHeight="1" thickTop="1" thickBot="1">
      <c r="A390" s="455"/>
      <c r="B390" s="166"/>
      <c r="C390" s="332" t="s">
        <v>436</v>
      </c>
      <c r="D390" s="418">
        <v>1</v>
      </c>
      <c r="E390" s="419"/>
      <c r="F390" s="420"/>
      <c r="G390" s="420"/>
      <c r="H390" s="517"/>
    </row>
    <row r="391" spans="1:8" ht="15" customHeight="1" thickTop="1" thickBot="1">
      <c r="A391" s="455"/>
      <c r="B391" s="166"/>
      <c r="C391" s="332" t="s">
        <v>437</v>
      </c>
      <c r="D391" s="418">
        <v>1</v>
      </c>
      <c r="E391" s="419"/>
      <c r="F391" s="420"/>
      <c r="G391" s="420"/>
      <c r="H391" s="517"/>
    </row>
    <row r="392" spans="1:8" ht="15" customHeight="1" thickTop="1" thickBot="1">
      <c r="A392" s="455"/>
      <c r="B392" s="166"/>
      <c r="C392" s="358" t="s">
        <v>439</v>
      </c>
      <c r="D392" s="418">
        <v>1</v>
      </c>
      <c r="E392" s="419" t="s">
        <v>42</v>
      </c>
      <c r="F392" s="420">
        <v>168700</v>
      </c>
      <c r="G392" s="420">
        <f>+F392*D392</f>
        <v>168700</v>
      </c>
      <c r="H392" s="517"/>
    </row>
    <row r="393" spans="1:8" ht="15" customHeight="1" thickTop="1" thickBot="1">
      <c r="A393" s="455"/>
      <c r="B393" s="166"/>
      <c r="C393" s="358" t="s">
        <v>440</v>
      </c>
      <c r="D393" s="418">
        <v>1</v>
      </c>
      <c r="E393" s="419" t="s">
        <v>42</v>
      </c>
      <c r="F393" s="420">
        <v>34900</v>
      </c>
      <c r="G393" s="420">
        <f>+F393*D393</f>
        <v>34900</v>
      </c>
      <c r="H393" s="517"/>
    </row>
    <row r="394" spans="1:8" ht="15" customHeight="1" thickTop="1" thickBot="1">
      <c r="A394" s="455"/>
      <c r="B394" s="166"/>
      <c r="C394" s="332" t="s">
        <v>441</v>
      </c>
      <c r="D394" s="418"/>
      <c r="E394" s="419"/>
      <c r="F394" s="420"/>
      <c r="G394" s="420"/>
      <c r="H394" s="517"/>
    </row>
    <row r="395" spans="1:8" ht="15" customHeight="1" thickTop="1" thickBot="1">
      <c r="A395" s="455"/>
      <c r="B395" s="166"/>
      <c r="C395" s="332" t="s">
        <v>442</v>
      </c>
      <c r="D395" s="418"/>
      <c r="E395" s="419"/>
      <c r="F395" s="420"/>
      <c r="G395" s="420"/>
      <c r="H395" s="517"/>
    </row>
    <row r="396" spans="1:8" ht="15" customHeight="1" thickTop="1" thickBot="1">
      <c r="A396" s="455"/>
      <c r="B396" s="166"/>
      <c r="C396" s="332" t="s">
        <v>443</v>
      </c>
      <c r="D396" s="418"/>
      <c r="E396" s="419"/>
      <c r="F396" s="420"/>
      <c r="G396" s="420"/>
      <c r="H396" s="517"/>
    </row>
    <row r="397" spans="1:8" ht="15" customHeight="1" thickTop="1" thickBot="1">
      <c r="A397" s="455"/>
      <c r="B397" s="166"/>
      <c r="C397" s="332" t="s">
        <v>444</v>
      </c>
      <c r="D397" s="418"/>
      <c r="E397" s="419"/>
      <c r="F397" s="420"/>
      <c r="G397" s="420"/>
      <c r="H397" s="517"/>
    </row>
    <row r="398" spans="1:8" ht="15" customHeight="1" thickTop="1" thickBot="1">
      <c r="A398" s="455"/>
      <c r="B398" s="166"/>
      <c r="C398" s="332" t="s">
        <v>445</v>
      </c>
      <c r="D398" s="418"/>
      <c r="E398" s="419"/>
      <c r="F398" s="420"/>
      <c r="G398" s="420"/>
      <c r="H398" s="517"/>
    </row>
    <row r="399" spans="1:8" ht="15" customHeight="1" thickTop="1" thickBot="1">
      <c r="A399" s="455"/>
      <c r="B399" s="166"/>
      <c r="C399" s="332" t="s">
        <v>446</v>
      </c>
      <c r="D399" s="418"/>
      <c r="E399" s="419"/>
      <c r="F399" s="420"/>
      <c r="G399" s="420"/>
      <c r="H399" s="517"/>
    </row>
    <row r="400" spans="1:8" ht="15" customHeight="1" thickTop="1" thickBot="1">
      <c r="A400" s="455"/>
      <c r="B400" s="166"/>
      <c r="C400" s="332" t="s">
        <v>447</v>
      </c>
      <c r="D400" s="418"/>
      <c r="E400" s="419"/>
      <c r="F400" s="420"/>
      <c r="G400" s="420"/>
      <c r="H400" s="517"/>
    </row>
    <row r="401" spans="1:9" ht="15" customHeight="1" thickTop="1" thickBot="1">
      <c r="A401" s="455"/>
      <c r="B401" s="166"/>
      <c r="C401" s="332" t="s">
        <v>448</v>
      </c>
      <c r="D401" s="418"/>
      <c r="E401" s="419"/>
      <c r="F401" s="420"/>
      <c r="G401" s="420"/>
      <c r="H401" s="517"/>
    </row>
    <row r="402" spans="1:9" ht="15" customHeight="1" thickTop="1" thickBot="1">
      <c r="A402" s="455"/>
      <c r="B402" s="166"/>
      <c r="C402" s="332" t="s">
        <v>449</v>
      </c>
      <c r="D402" s="418"/>
      <c r="E402" s="419"/>
      <c r="F402" s="420"/>
      <c r="G402" s="420"/>
      <c r="H402" s="517"/>
    </row>
    <row r="403" spans="1:9" ht="15" customHeight="1" thickTop="1" thickBot="1">
      <c r="A403" s="455"/>
      <c r="B403" s="166"/>
      <c r="C403" s="332" t="s">
        <v>450</v>
      </c>
      <c r="D403" s="418"/>
      <c r="E403" s="419"/>
      <c r="F403" s="420"/>
      <c r="G403" s="420"/>
      <c r="H403" s="517"/>
    </row>
    <row r="404" spans="1:9" ht="15" customHeight="1" thickTop="1" thickBot="1">
      <c r="A404" s="455"/>
      <c r="B404" s="166"/>
      <c r="C404" s="332" t="s">
        <v>451</v>
      </c>
      <c r="D404" s="418"/>
      <c r="E404" s="419"/>
      <c r="F404" s="420"/>
      <c r="G404" s="420"/>
      <c r="H404" s="517"/>
    </row>
    <row r="405" spans="1:9" ht="20.25" customHeight="1" thickTop="1" thickBot="1">
      <c r="A405" s="455"/>
      <c r="B405" s="33"/>
      <c r="C405" s="311"/>
      <c r="D405" s="525"/>
      <c r="E405" s="526"/>
      <c r="F405" s="531"/>
      <c r="G405" s="528"/>
      <c r="H405" s="529">
        <f>SUM(G347:G405)</f>
        <v>361600</v>
      </c>
      <c r="I405">
        <f>+H405-G392</f>
        <v>192900</v>
      </c>
    </row>
    <row r="406" spans="1:9" ht="5.0999999999999996" customHeight="1">
      <c r="A406" s="457"/>
      <c r="B406" s="166"/>
      <c r="C406" s="305"/>
      <c r="D406" s="509"/>
      <c r="E406" s="530"/>
      <c r="F406" s="511"/>
      <c r="G406" s="512"/>
      <c r="H406" s="513"/>
    </row>
    <row r="407" spans="1:9" ht="20.25" customHeight="1">
      <c r="A407" s="458">
        <v>16300</v>
      </c>
      <c r="B407" s="163" t="s">
        <v>86</v>
      </c>
      <c r="C407" s="305"/>
      <c r="D407" s="509"/>
      <c r="E407" s="530"/>
      <c r="F407" s="511"/>
      <c r="G407" s="512"/>
      <c r="H407" s="513"/>
    </row>
    <row r="408" spans="1:9" ht="19.5" customHeight="1" thickBot="1">
      <c r="A408" s="455"/>
      <c r="B408" s="33"/>
      <c r="C408" s="308"/>
      <c r="D408" s="525"/>
      <c r="E408" s="526"/>
      <c r="F408" s="527"/>
      <c r="G408" s="528"/>
      <c r="H408" s="529" t="s">
        <v>289</v>
      </c>
    </row>
    <row r="409" spans="1:9" ht="29.5" customHeight="1">
      <c r="A409" s="457"/>
      <c r="B409" s="79"/>
      <c r="C409" s="323"/>
      <c r="D409" s="509"/>
      <c r="E409" s="510"/>
      <c r="F409" s="511"/>
      <c r="G409" s="512" t="s">
        <v>71</v>
      </c>
      <c r="H409" s="513"/>
    </row>
    <row r="410" spans="1:9" ht="29.5" customHeight="1">
      <c r="A410" s="458">
        <v>16500</v>
      </c>
      <c r="B410" s="169" t="s">
        <v>157</v>
      </c>
      <c r="C410" s="305"/>
      <c r="D410" s="509"/>
      <c r="E410" s="510"/>
      <c r="F410" s="511"/>
      <c r="G410" s="512" t="s">
        <v>71</v>
      </c>
      <c r="H410" s="513"/>
    </row>
    <row r="411" spans="1:9" ht="20.25" customHeight="1" thickBot="1">
      <c r="A411" s="455"/>
      <c r="B411" s="33"/>
      <c r="C411" s="308"/>
      <c r="D411" s="525"/>
      <c r="E411" s="526"/>
      <c r="F411" s="527"/>
      <c r="G411" s="528"/>
      <c r="H411" s="529" t="s">
        <v>289</v>
      </c>
    </row>
    <row r="412" spans="1:9" ht="9.6" customHeight="1">
      <c r="A412" s="457"/>
      <c r="B412" s="164"/>
      <c r="C412" s="305"/>
      <c r="D412" s="509"/>
      <c r="E412" s="530"/>
      <c r="F412" s="511"/>
      <c r="G412" s="512"/>
      <c r="H412" s="513"/>
    </row>
    <row r="413" spans="1:9" ht="19.5" customHeight="1">
      <c r="A413" s="458">
        <v>17300</v>
      </c>
      <c r="B413" s="169" t="s">
        <v>85</v>
      </c>
      <c r="C413" s="305"/>
      <c r="D413" s="509"/>
      <c r="E413" s="510"/>
      <c r="F413" s="511"/>
      <c r="G413" s="512" t="s">
        <v>71</v>
      </c>
      <c r="H413" s="513"/>
    </row>
    <row r="414" spans="1:9" ht="19.5" customHeight="1" thickBot="1">
      <c r="A414" s="455"/>
      <c r="B414" s="33"/>
      <c r="C414" s="308"/>
      <c r="D414" s="525"/>
      <c r="E414" s="526"/>
      <c r="F414" s="527"/>
      <c r="G414" s="528"/>
      <c r="H414" s="529" t="s">
        <v>289</v>
      </c>
    </row>
    <row r="415" spans="1:9" ht="7.9" customHeight="1">
      <c r="A415" s="457"/>
      <c r="B415" s="164"/>
      <c r="C415" s="305"/>
      <c r="D415" s="509"/>
      <c r="E415" s="530"/>
      <c r="F415" s="511"/>
      <c r="G415" s="512"/>
      <c r="H415" s="513"/>
    </row>
    <row r="416" spans="1:9" ht="20.399999999999999" thickBot="1">
      <c r="A416" s="455"/>
      <c r="B416" s="33"/>
      <c r="C416" s="173" t="s">
        <v>61</v>
      </c>
      <c r="D416" s="559"/>
      <c r="E416" s="560"/>
      <c r="F416" s="561"/>
      <c r="G416" s="562">
        <f>SUM(G8:G415)</f>
        <v>4782649</v>
      </c>
      <c r="H416" s="563">
        <f>SUM(H8:H415)</f>
        <v>4782649</v>
      </c>
    </row>
    <row r="417" spans="1:8" ht="19" customHeight="1" thickBot="1">
      <c r="A417" s="455"/>
      <c r="B417" s="33" t="s">
        <v>62</v>
      </c>
      <c r="C417" s="172"/>
      <c r="D417" s="560"/>
      <c r="E417" s="560"/>
      <c r="F417" s="561"/>
      <c r="G417" s="564"/>
      <c r="H417" s="529">
        <f>ROUND(SUM(H416:H416)*RFE!$F$20,0)</f>
        <v>346742</v>
      </c>
    </row>
    <row r="418" spans="1:8" ht="20.399999999999999" thickBot="1">
      <c r="A418" s="455"/>
      <c r="B418" s="33" t="s">
        <v>99</v>
      </c>
      <c r="C418" s="174"/>
      <c r="D418" s="560"/>
      <c r="E418" s="560"/>
      <c r="F418" s="561"/>
      <c r="G418" s="565"/>
      <c r="H418" s="529">
        <f>ROUND(SUM(H416:H417)*RFE!$F$21,0)</f>
        <v>128235</v>
      </c>
    </row>
    <row r="419" spans="1:8" ht="19" customHeight="1" thickBot="1">
      <c r="A419" s="455"/>
      <c r="B419" s="33" t="s">
        <v>67</v>
      </c>
      <c r="C419" s="175" t="s">
        <v>71</v>
      </c>
      <c r="D419" s="560"/>
      <c r="E419" s="560"/>
      <c r="F419" s="561"/>
      <c r="G419" s="565"/>
      <c r="H419" s="529">
        <f>ROUND(SUM(H416:H418)*RFE!$F$22,0)</f>
        <v>170873</v>
      </c>
    </row>
    <row r="420" spans="1:8" ht="20.399999999999999" thickBot="1">
      <c r="A420" s="462"/>
      <c r="B420" s="463"/>
      <c r="C420" s="464" t="s">
        <v>68</v>
      </c>
      <c r="D420" s="465"/>
      <c r="E420" s="466"/>
      <c r="F420" s="467"/>
      <c r="G420" s="468"/>
      <c r="H420" s="479">
        <f>SUM(H416:H419)</f>
        <v>5428499</v>
      </c>
    </row>
    <row r="421" spans="1:8" ht="17.399999999999999">
      <c r="A421" s="165"/>
      <c r="B421" s="176"/>
      <c r="C421" s="177"/>
      <c r="D421" s="176"/>
      <c r="E421" s="176"/>
      <c r="F421" s="304"/>
      <c r="G421" s="304"/>
      <c r="H421" s="480"/>
    </row>
    <row r="422" spans="1:8" ht="13.9" customHeight="1">
      <c r="A422" s="165"/>
      <c r="B422" s="176"/>
      <c r="C422" s="177"/>
      <c r="D422" s="176"/>
      <c r="E422" s="176"/>
      <c r="F422" s="304"/>
      <c r="G422" s="304"/>
      <c r="H422" s="480"/>
    </row>
    <row r="423" spans="1:8" ht="13.9" customHeight="1">
      <c r="A423" s="165"/>
      <c r="B423" s="176"/>
      <c r="C423" s="428" t="s">
        <v>539</v>
      </c>
      <c r="D423" s="425"/>
      <c r="E423" s="425"/>
      <c r="F423" s="426"/>
      <c r="G423" s="427"/>
      <c r="H423" s="480"/>
    </row>
    <row r="424" spans="1:8" s="47" customFormat="1">
      <c r="A424" s="439"/>
      <c r="C424" s="481" t="s">
        <v>605</v>
      </c>
      <c r="D424" s="482"/>
    </row>
    <row r="425" spans="1:8" s="47" customFormat="1">
      <c r="A425" s="439"/>
      <c r="C425" s="441" t="s">
        <v>389</v>
      </c>
      <c r="F425" s="442">
        <v>173400</v>
      </c>
      <c r="G425" s="444"/>
    </row>
    <row r="426" spans="1:8" s="47" customFormat="1">
      <c r="A426" s="439"/>
      <c r="C426" s="441" t="s">
        <v>413</v>
      </c>
      <c r="F426" s="442">
        <v>125000</v>
      </c>
      <c r="G426" s="444"/>
    </row>
    <row r="427" spans="1:8" s="47" customFormat="1" ht="15.3" thickBot="1">
      <c r="A427" s="439"/>
      <c r="C427" s="441" t="s">
        <v>538</v>
      </c>
      <c r="F427" s="442">
        <v>50000</v>
      </c>
      <c r="G427" s="444"/>
    </row>
    <row r="428" spans="1:8" s="47" customFormat="1" ht="15.6" thickTop="1" thickBot="1">
      <c r="A428" s="439"/>
      <c r="C428" s="344" t="s">
        <v>74</v>
      </c>
      <c r="F428" s="343"/>
      <c r="G428" s="343">
        <f>SUM(F425:F428)</f>
        <v>348400</v>
      </c>
    </row>
    <row r="429" spans="1:8" s="47" customFormat="1" ht="15.3" thickBot="1">
      <c r="A429" s="439"/>
      <c r="C429" s="350" t="s">
        <v>62</v>
      </c>
      <c r="F429" s="351"/>
      <c r="G429" s="351">
        <f>SUM(G428)*RFE!$F$20</f>
        <v>25259</v>
      </c>
    </row>
    <row r="430" spans="1:8" s="47" customFormat="1" ht="15.3" thickBot="1">
      <c r="A430" s="439"/>
      <c r="C430" s="350" t="s">
        <v>99</v>
      </c>
      <c r="F430" s="351"/>
      <c r="G430" s="351">
        <f>SUM(G428:G429)*RFE!$F$21</f>
        <v>9341.4750000000004</v>
      </c>
    </row>
    <row r="431" spans="1:8" s="47" customFormat="1" ht="15.3" thickBot="1">
      <c r="A431" s="439"/>
      <c r="C431" s="350" t="s">
        <v>67</v>
      </c>
      <c r="F431" s="351"/>
      <c r="G431" s="351">
        <f>SUM(G428:G430)*RFE!$F$22</f>
        <v>12447.5154375</v>
      </c>
    </row>
    <row r="432" spans="1:8" s="47" customFormat="1" ht="15.3" thickBot="1">
      <c r="A432" s="440"/>
      <c r="C432" s="353" t="s">
        <v>68</v>
      </c>
      <c r="F432" s="354"/>
      <c r="G432" s="354">
        <f>SUM(G428:G431)</f>
        <v>395447.9904375</v>
      </c>
    </row>
    <row r="433" spans="1:4" s="47" customFormat="1" ht="15.3" thickBot="1">
      <c r="D433" s="336"/>
    </row>
    <row r="434" spans="1:4" s="47" customFormat="1" ht="17.7">
      <c r="A434" s="436"/>
      <c r="B434" s="443" t="s">
        <v>390</v>
      </c>
      <c r="C434" s="437"/>
      <c r="D434" s="438"/>
    </row>
    <row r="435" spans="1:4" s="47" customFormat="1" ht="32.65" customHeight="1" thickBot="1">
      <c r="A435" s="439"/>
      <c r="B435" s="605" t="s">
        <v>615</v>
      </c>
      <c r="C435" s="606"/>
      <c r="D435" s="444"/>
    </row>
    <row r="436" spans="1:4" s="47" customFormat="1" ht="15.6" thickTop="1" thickBot="1">
      <c r="A436" s="439"/>
      <c r="B436" s="344" t="s">
        <v>74</v>
      </c>
      <c r="C436" s="343"/>
      <c r="D436" s="343">
        <f>SUM(Estimate!G575:G580)</f>
        <v>0</v>
      </c>
    </row>
    <row r="437" spans="1:4" s="47" customFormat="1" ht="15.3" thickBot="1">
      <c r="A437" s="439"/>
      <c r="B437" s="350" t="s">
        <v>62</v>
      </c>
      <c r="C437" s="351"/>
      <c r="D437" s="351">
        <f>SUM(D436)*RFE!$F$20</f>
        <v>0</v>
      </c>
    </row>
    <row r="438" spans="1:4" s="47" customFormat="1" ht="15.3" thickBot="1">
      <c r="A438" s="439"/>
      <c r="B438" s="350" t="s">
        <v>99</v>
      </c>
      <c r="C438" s="351"/>
      <c r="D438" s="351">
        <f>SUM(D436:D437)*RFE!$F$21</f>
        <v>0</v>
      </c>
    </row>
    <row r="439" spans="1:4" s="47" customFormat="1" ht="15.3" thickBot="1">
      <c r="A439" s="439"/>
      <c r="B439" s="350" t="s">
        <v>67</v>
      </c>
      <c r="C439" s="351"/>
      <c r="D439" s="351">
        <f>SUM(D436:D438)*RFE!$F$22</f>
        <v>0</v>
      </c>
    </row>
    <row r="440" spans="1:4" s="47" customFormat="1" ht="15.3" thickBot="1">
      <c r="A440" s="440"/>
      <c r="B440" s="353" t="s">
        <v>68</v>
      </c>
      <c r="C440" s="354"/>
      <c r="D440" s="354">
        <f>SUM(D436:D439)</f>
        <v>0</v>
      </c>
    </row>
    <row r="441" spans="1:4" s="47" customFormat="1" ht="15.3" thickBot="1">
      <c r="D441" s="336"/>
    </row>
    <row r="442" spans="1:4" s="47" customFormat="1" ht="17.7">
      <c r="A442" s="436"/>
      <c r="B442" s="443" t="s">
        <v>594</v>
      </c>
      <c r="C442" s="437"/>
      <c r="D442" s="438"/>
    </row>
    <row r="443" spans="1:4" s="47" customFormat="1" ht="19" customHeight="1" thickBot="1">
      <c r="A443" s="439"/>
      <c r="B443" s="605" t="s">
        <v>597</v>
      </c>
      <c r="C443" s="606"/>
      <c r="D443" s="444"/>
    </row>
    <row r="444" spans="1:4" s="47" customFormat="1" ht="15.6" thickTop="1" thickBot="1">
      <c r="A444" s="439"/>
      <c r="B444" s="344" t="s">
        <v>74</v>
      </c>
      <c r="C444" s="343"/>
      <c r="D444" s="343">
        <f>187000+9000</f>
        <v>196000</v>
      </c>
    </row>
    <row r="445" spans="1:4" s="47" customFormat="1" ht="15.3" thickBot="1">
      <c r="A445" s="439"/>
      <c r="B445" s="350" t="s">
        <v>62</v>
      </c>
      <c r="C445" s="351"/>
      <c r="D445" s="351">
        <f>SUM(D444)*RFE!$F$20</f>
        <v>14209.999999999998</v>
      </c>
    </row>
    <row r="446" spans="1:4" s="47" customFormat="1" ht="15.3" thickBot="1">
      <c r="A446" s="439"/>
      <c r="B446" s="350" t="s">
        <v>99</v>
      </c>
      <c r="C446" s="351"/>
      <c r="D446" s="351">
        <f>SUM(D444:D445)*RFE!$F$21</f>
        <v>5255.25</v>
      </c>
    </row>
    <row r="447" spans="1:4" s="47" customFormat="1" ht="15.3" thickBot="1">
      <c r="A447" s="439"/>
      <c r="B447" s="350" t="s">
        <v>67</v>
      </c>
      <c r="C447" s="351"/>
      <c r="D447" s="351">
        <f>SUM(D444:D446)*RFE!$F$22</f>
        <v>7002.6206250000005</v>
      </c>
    </row>
    <row r="448" spans="1:4" s="47" customFormat="1" ht="15.3" thickBot="1">
      <c r="A448" s="440"/>
      <c r="B448" s="353" t="s">
        <v>68</v>
      </c>
      <c r="C448" s="354"/>
      <c r="D448" s="354">
        <f>SUM(D444:D447)</f>
        <v>222467.87062500001</v>
      </c>
    </row>
    <row r="449" spans="1:8" ht="15.3">
      <c r="C449" s="430" t="s">
        <v>389</v>
      </c>
      <c r="D449" s="429"/>
      <c r="E449" s="429"/>
      <c r="F449" s="427"/>
      <c r="G449" s="431">
        <v>173400</v>
      </c>
    </row>
    <row r="450" spans="1:8" ht="15.3">
      <c r="C450" s="430" t="s">
        <v>413</v>
      </c>
      <c r="D450" s="429"/>
      <c r="E450" s="429"/>
      <c r="F450" s="427"/>
      <c r="G450" s="431">
        <v>125000</v>
      </c>
    </row>
    <row r="451" spans="1:8" ht="15.3">
      <c r="C451" s="430" t="s">
        <v>538</v>
      </c>
      <c r="D451" s="429"/>
      <c r="E451" s="429"/>
      <c r="F451" s="427"/>
      <c r="G451" s="431">
        <v>50000</v>
      </c>
    </row>
    <row r="452" spans="1:8">
      <c r="C452" s="178"/>
    </row>
    <row r="453" spans="1:8">
      <c r="C453" s="178"/>
    </row>
    <row r="454" spans="1:8">
      <c r="C454" s="486" t="s">
        <v>614</v>
      </c>
    </row>
    <row r="455" spans="1:8" ht="15.3" thickBot="1">
      <c r="C455" s="486" t="s">
        <v>617</v>
      </c>
    </row>
    <row r="456" spans="1:8" ht="15.3" thickBot="1">
      <c r="C456" s="313" t="s">
        <v>560</v>
      </c>
      <c r="D456" s="314">
        <v>160</v>
      </c>
      <c r="E456" s="315" t="s">
        <v>46</v>
      </c>
      <c r="F456" s="316">
        <v>200</v>
      </c>
      <c r="G456" s="316">
        <f t="shared" ref="G456:G459" si="32">ROUND(SUM(D456)*F456,0)</f>
        <v>32000</v>
      </c>
    </row>
    <row r="457" spans="1:8" ht="15.3" thickBot="1">
      <c r="C457" s="313" t="s">
        <v>561</v>
      </c>
      <c r="D457" s="314">
        <f>12*9</f>
        <v>108</v>
      </c>
      <c r="E457" s="315" t="s">
        <v>46</v>
      </c>
      <c r="F457" s="316">
        <v>200</v>
      </c>
      <c r="G457" s="316">
        <f t="shared" si="32"/>
        <v>21600</v>
      </c>
    </row>
    <row r="458" spans="1:8" ht="15.3" thickBot="1">
      <c r="C458" s="313" t="s">
        <v>575</v>
      </c>
      <c r="D458" s="314">
        <f>15*9</f>
        <v>135</v>
      </c>
      <c r="E458" s="315" t="s">
        <v>46</v>
      </c>
      <c r="F458" s="316">
        <v>200</v>
      </c>
      <c r="G458" s="316">
        <f t="shared" si="32"/>
        <v>27000</v>
      </c>
    </row>
    <row r="459" spans="1:8" ht="15.3" thickBot="1">
      <c r="C459" s="313" t="s">
        <v>606</v>
      </c>
      <c r="D459" s="314">
        <f>16*11</f>
        <v>176</v>
      </c>
      <c r="E459" s="315" t="s">
        <v>46</v>
      </c>
      <c r="F459" s="316">
        <v>215</v>
      </c>
      <c r="G459" s="316">
        <f t="shared" si="32"/>
        <v>37840</v>
      </c>
    </row>
    <row r="460" spans="1:8" ht="15" customHeight="1" thickBot="1">
      <c r="A460" s="460"/>
      <c r="B460" s="79"/>
      <c r="C460" s="313" t="s">
        <v>562</v>
      </c>
      <c r="D460" s="314">
        <v>1</v>
      </c>
      <c r="E460" s="315" t="s">
        <v>69</v>
      </c>
      <c r="F460" s="316">
        <v>7500</v>
      </c>
      <c r="G460" s="316">
        <f>ROUND(SUM(D460)*F460,0)</f>
        <v>7500</v>
      </c>
      <c r="H460" s="478"/>
    </row>
    <row r="461" spans="1:8" ht="15" customHeight="1" thickBot="1">
      <c r="A461" s="460"/>
      <c r="B461" s="79"/>
      <c r="C461" s="313" t="s">
        <v>297</v>
      </c>
      <c r="D461" s="314">
        <v>2</v>
      </c>
      <c r="E461" s="315" t="s">
        <v>69</v>
      </c>
      <c r="F461" s="316">
        <v>3000</v>
      </c>
      <c r="G461" s="316">
        <f>ROUND(SUM(D461)*F461,0)</f>
        <v>6000</v>
      </c>
      <c r="H461" s="478"/>
    </row>
    <row r="462" spans="1:8" ht="15" customHeight="1" thickTop="1" thickBot="1">
      <c r="A462" s="455"/>
      <c r="B462" s="164"/>
      <c r="C462" s="309" t="s">
        <v>263</v>
      </c>
      <c r="D462" s="418">
        <v>1</v>
      </c>
      <c r="E462" s="419" t="s">
        <v>42</v>
      </c>
      <c r="F462" s="420">
        <v>4000</v>
      </c>
      <c r="G462" s="420">
        <f>ROUND(SUM(D462)*F462,0)</f>
        <v>4000</v>
      </c>
      <c r="H462" s="517"/>
    </row>
    <row r="463" spans="1:8" ht="15" customHeight="1" thickTop="1" thickBot="1">
      <c r="A463" s="455"/>
      <c r="B463" s="163"/>
      <c r="C463" s="488" t="s">
        <v>683</v>
      </c>
      <c r="D463" s="489">
        <f>8*18</f>
        <v>144</v>
      </c>
      <c r="E463" s="490" t="s">
        <v>239</v>
      </c>
      <c r="F463" s="491">
        <v>45</v>
      </c>
      <c r="G463" s="491">
        <f t="shared" ref="G463" si="33">ROUND(SUM(D463)*F463,0)</f>
        <v>6480</v>
      </c>
      <c r="H463" s="547"/>
    </row>
    <row r="464" spans="1:8" ht="15" customHeight="1" thickBot="1">
      <c r="A464" s="455"/>
      <c r="B464" s="163"/>
      <c r="C464" s="488" t="s">
        <v>684</v>
      </c>
      <c r="D464" s="489">
        <f>46*4</f>
        <v>184</v>
      </c>
      <c r="E464" s="490" t="s">
        <v>239</v>
      </c>
      <c r="F464" s="491">
        <v>45</v>
      </c>
      <c r="G464" s="491">
        <f t="shared" ref="G464" si="34">ROUND(SUM(D464)*F464,0)</f>
        <v>8280</v>
      </c>
      <c r="H464" s="547"/>
    </row>
    <row r="465" spans="1:8">
      <c r="C465" s="178"/>
      <c r="H465" s="471">
        <f>SUM(G456:G464)</f>
        <v>150700</v>
      </c>
    </row>
    <row r="466" spans="1:8" ht="15.3" thickBot="1">
      <c r="C466" s="178"/>
    </row>
    <row r="467" spans="1:8" ht="19.5" customHeight="1" thickBot="1">
      <c r="A467" s="455"/>
      <c r="B467" s="166"/>
      <c r="C467" s="549" t="s">
        <v>676</v>
      </c>
      <c r="D467" s="549">
        <v>1</v>
      </c>
      <c r="E467" s="549" t="s">
        <v>239</v>
      </c>
      <c r="F467" s="549">
        <v>2500</v>
      </c>
      <c r="G467" s="645">
        <f>ROUND(SUM(D467)*F467,0)</f>
        <v>2500</v>
      </c>
      <c r="H467" s="513"/>
    </row>
    <row r="468" spans="1:8" ht="19.5" customHeight="1" thickBot="1">
      <c r="A468" s="455"/>
      <c r="B468" s="166"/>
      <c r="C468" s="549" t="s">
        <v>677</v>
      </c>
      <c r="D468" s="549">
        <v>1</v>
      </c>
      <c r="E468" s="549" t="s">
        <v>239</v>
      </c>
      <c r="F468" s="549">
        <v>5000</v>
      </c>
      <c r="G468" s="645">
        <f>ROUND(SUM(D468)*F468,0)</f>
        <v>5000</v>
      </c>
      <c r="H468" s="513"/>
    </row>
    <row r="469" spans="1:8" ht="15.3" thickBot="1">
      <c r="C469" s="178"/>
    </row>
    <row r="470" spans="1:8" ht="16.5" customHeight="1" thickTop="1" thickBot="1">
      <c r="A470" s="455"/>
      <c r="B470" s="166"/>
      <c r="C470" s="568" t="s">
        <v>678</v>
      </c>
      <c r="D470" s="569">
        <v>1</v>
      </c>
      <c r="E470" s="570" t="s">
        <v>239</v>
      </c>
      <c r="F470" s="571">
        <v>12500</v>
      </c>
      <c r="G470" s="571">
        <f t="shared" ref="G470" si="35">ROUND(SUM(D470)*F470,0)</f>
        <v>12500</v>
      </c>
      <c r="H470" s="517"/>
    </row>
    <row r="471" spans="1:8" ht="15.3" thickTop="1">
      <c r="C471" s="178"/>
    </row>
    <row r="472" spans="1:8">
      <c r="C472" s="486" t="s">
        <v>690</v>
      </c>
    </row>
    <row r="473" spans="1:8" ht="15.3" thickBot="1">
      <c r="C473" s="486" t="s">
        <v>691</v>
      </c>
    </row>
    <row r="474" spans="1:8" ht="15" customHeight="1" thickBot="1">
      <c r="A474" s="460"/>
      <c r="B474" s="79"/>
      <c r="C474" s="549" t="s">
        <v>692</v>
      </c>
      <c r="D474" s="550">
        <v>800</v>
      </c>
      <c r="E474" s="551" t="s">
        <v>537</v>
      </c>
      <c r="F474" s="552">
        <v>40</v>
      </c>
      <c r="G474" s="552">
        <f>ROUND(SUM(D474)*F474,0)</f>
        <v>32000</v>
      </c>
      <c r="H474" s="547"/>
    </row>
    <row r="475" spans="1:8" ht="15" customHeight="1" thickBot="1">
      <c r="A475" s="460"/>
      <c r="B475" s="79"/>
      <c r="C475" s="549" t="s">
        <v>693</v>
      </c>
      <c r="D475" s="550">
        <v>125</v>
      </c>
      <c r="E475" s="551" t="s">
        <v>537</v>
      </c>
      <c r="F475" s="552">
        <v>40</v>
      </c>
      <c r="G475" s="552">
        <f>ROUND(SUM(D475)*F475,0)</f>
        <v>5000</v>
      </c>
      <c r="H475" s="521"/>
    </row>
    <row r="476" spans="1:8">
      <c r="C476" s="178"/>
      <c r="H476" s="471">
        <f>SUM(G474:G475)</f>
        <v>37000</v>
      </c>
    </row>
    <row r="477" spans="1:8">
      <c r="C477" s="178"/>
    </row>
    <row r="478" spans="1:8">
      <c r="C478" s="178"/>
    </row>
    <row r="479" spans="1:8">
      <c r="C479" s="178"/>
    </row>
    <row r="480" spans="1:8">
      <c r="C480" s="178"/>
    </row>
    <row r="481" spans="3:3">
      <c r="C481" s="178"/>
    </row>
    <row r="482" spans="3:3">
      <c r="C482" s="178"/>
    </row>
    <row r="483" spans="3:3">
      <c r="C483" s="178"/>
    </row>
    <row r="484" spans="3:3">
      <c r="C484" s="178"/>
    </row>
    <row r="485" spans="3:3">
      <c r="C485" s="178"/>
    </row>
    <row r="486" spans="3:3">
      <c r="C486" s="178"/>
    </row>
    <row r="487" spans="3:3">
      <c r="C487" s="178"/>
    </row>
    <row r="488" spans="3:3">
      <c r="C488" s="178"/>
    </row>
    <row r="489" spans="3:3">
      <c r="C489" s="178"/>
    </row>
    <row r="490" spans="3:3">
      <c r="C490" s="178"/>
    </row>
    <row r="491" spans="3:3">
      <c r="C491" s="178"/>
    </row>
    <row r="492" spans="3:3">
      <c r="C492" s="178"/>
    </row>
    <row r="493" spans="3:3">
      <c r="C493" s="178"/>
    </row>
    <row r="494" spans="3:3">
      <c r="C494" s="178"/>
    </row>
    <row r="495" spans="3:3">
      <c r="C495" s="178"/>
    </row>
    <row r="496" spans="3:3">
      <c r="C496" s="178"/>
    </row>
    <row r="497" spans="3:3">
      <c r="C497" s="178"/>
    </row>
    <row r="498" spans="3:3">
      <c r="C498" s="178"/>
    </row>
    <row r="499" spans="3:3">
      <c r="C499" s="178"/>
    </row>
    <row r="500" spans="3:3">
      <c r="C500" s="178"/>
    </row>
    <row r="501" spans="3:3">
      <c r="C501" s="178"/>
    </row>
    <row r="502" spans="3:3">
      <c r="C502" s="178"/>
    </row>
    <row r="503" spans="3:3">
      <c r="C503" s="178"/>
    </row>
    <row r="504" spans="3:3">
      <c r="C504" s="178"/>
    </row>
    <row r="505" spans="3:3">
      <c r="C505" s="178"/>
    </row>
    <row r="506" spans="3:3">
      <c r="C506" s="178"/>
    </row>
    <row r="507" spans="3:3">
      <c r="C507" s="178"/>
    </row>
    <row r="508" spans="3:3">
      <c r="C508" s="178"/>
    </row>
    <row r="509" spans="3:3">
      <c r="C509" s="178"/>
    </row>
    <row r="510" spans="3:3">
      <c r="C510" s="178"/>
    </row>
    <row r="511" spans="3:3">
      <c r="C511" s="178"/>
    </row>
    <row r="512" spans="3:3">
      <c r="C512" s="178"/>
    </row>
    <row r="513" spans="3:3">
      <c r="C513" s="178"/>
    </row>
    <row r="514" spans="3:3">
      <c r="C514" s="178"/>
    </row>
    <row r="515" spans="3:3">
      <c r="C515" s="178"/>
    </row>
    <row r="516" spans="3:3">
      <c r="C516" s="178"/>
    </row>
    <row r="517" spans="3:3">
      <c r="C517" s="178"/>
    </row>
    <row r="518" spans="3:3">
      <c r="C518" s="178"/>
    </row>
    <row r="519" spans="3:3">
      <c r="C519" s="178"/>
    </row>
    <row r="520" spans="3:3">
      <c r="C520" s="178"/>
    </row>
    <row r="521" spans="3:3">
      <c r="C521" s="178"/>
    </row>
    <row r="522" spans="3:3">
      <c r="C522" s="178"/>
    </row>
    <row r="523" spans="3:3">
      <c r="C523" s="178"/>
    </row>
    <row r="524" spans="3:3">
      <c r="C524" s="178"/>
    </row>
    <row r="525" spans="3:3">
      <c r="C525" s="178"/>
    </row>
    <row r="526" spans="3:3">
      <c r="C526" s="178"/>
    </row>
    <row r="527" spans="3:3">
      <c r="C527" s="178"/>
    </row>
    <row r="528" spans="3:3">
      <c r="C528" s="178"/>
    </row>
    <row r="529" spans="3:3">
      <c r="C529" s="178"/>
    </row>
    <row r="530" spans="3:3">
      <c r="C530" s="178"/>
    </row>
    <row r="531" spans="3:3">
      <c r="C531" s="178"/>
    </row>
    <row r="532" spans="3:3">
      <c r="C532" s="178"/>
    </row>
    <row r="533" spans="3:3">
      <c r="C533" s="178"/>
    </row>
    <row r="534" spans="3:3">
      <c r="C534" s="178"/>
    </row>
    <row r="535" spans="3:3">
      <c r="C535" s="178"/>
    </row>
    <row r="536" spans="3:3">
      <c r="C536" s="178"/>
    </row>
    <row r="537" spans="3:3">
      <c r="C537" s="178"/>
    </row>
    <row r="538" spans="3:3">
      <c r="C538" s="178"/>
    </row>
    <row r="539" spans="3:3">
      <c r="C539" s="178"/>
    </row>
    <row r="540" spans="3:3">
      <c r="C540" s="178"/>
    </row>
    <row r="541" spans="3:3">
      <c r="C541" s="178"/>
    </row>
    <row r="542" spans="3:3">
      <c r="C542" s="178"/>
    </row>
    <row r="543" spans="3:3">
      <c r="C543" s="178"/>
    </row>
    <row r="544" spans="3:3">
      <c r="C544" s="178"/>
    </row>
    <row r="545" spans="3:3">
      <c r="C545" s="178"/>
    </row>
    <row r="546" spans="3:3">
      <c r="C546" s="178"/>
    </row>
    <row r="547" spans="3:3">
      <c r="C547" s="178"/>
    </row>
    <row r="548" spans="3:3">
      <c r="C548" s="178"/>
    </row>
    <row r="549" spans="3:3">
      <c r="C549" s="178"/>
    </row>
    <row r="550" spans="3:3">
      <c r="C550" s="178"/>
    </row>
    <row r="551" spans="3:3">
      <c r="C551" s="178"/>
    </row>
    <row r="552" spans="3:3">
      <c r="C552" s="178"/>
    </row>
    <row r="553" spans="3:3">
      <c r="C553" s="178"/>
    </row>
    <row r="554" spans="3:3">
      <c r="C554" s="178"/>
    </row>
    <row r="555" spans="3:3">
      <c r="C555" s="178"/>
    </row>
    <row r="556" spans="3:3">
      <c r="C556" s="178"/>
    </row>
    <row r="557" spans="3:3">
      <c r="C557" s="178"/>
    </row>
    <row r="558" spans="3:3">
      <c r="C558" s="178"/>
    </row>
    <row r="559" spans="3:3">
      <c r="C559" s="178"/>
    </row>
    <row r="560" spans="3:3">
      <c r="C560" s="178"/>
    </row>
    <row r="561" spans="3:3">
      <c r="C561" s="178"/>
    </row>
    <row r="562" spans="3:3">
      <c r="C562" s="178"/>
    </row>
    <row r="563" spans="3:3">
      <c r="C563" s="178"/>
    </row>
    <row r="564" spans="3:3">
      <c r="C564" s="178"/>
    </row>
    <row r="565" spans="3:3">
      <c r="C565" s="178"/>
    </row>
    <row r="566" spans="3:3">
      <c r="C566" s="178"/>
    </row>
    <row r="567" spans="3:3">
      <c r="C567" s="178"/>
    </row>
    <row r="568" spans="3:3">
      <c r="C568" s="178"/>
    </row>
    <row r="569" spans="3:3">
      <c r="C569" s="178"/>
    </row>
    <row r="570" spans="3:3">
      <c r="C570" s="178"/>
    </row>
    <row r="571" spans="3:3">
      <c r="C571" s="178"/>
    </row>
    <row r="572" spans="3:3">
      <c r="C572" s="178"/>
    </row>
    <row r="573" spans="3:3">
      <c r="C573" s="178"/>
    </row>
    <row r="574" spans="3:3">
      <c r="C574" s="178"/>
    </row>
    <row r="575" spans="3:3">
      <c r="C575" s="178"/>
    </row>
    <row r="576" spans="3:3">
      <c r="C576" s="178"/>
    </row>
    <row r="577" spans="3:3">
      <c r="C577" s="178"/>
    </row>
    <row r="578" spans="3:3">
      <c r="C578" s="178"/>
    </row>
    <row r="579" spans="3:3">
      <c r="C579" s="178"/>
    </row>
    <row r="580" spans="3:3">
      <c r="C580" s="178"/>
    </row>
    <row r="581" spans="3:3">
      <c r="C581" s="178"/>
    </row>
    <row r="582" spans="3:3">
      <c r="C582" s="178"/>
    </row>
    <row r="583" spans="3:3">
      <c r="C583" s="178"/>
    </row>
    <row r="584" spans="3:3">
      <c r="C584" s="178"/>
    </row>
    <row r="585" spans="3:3">
      <c r="C585" s="178"/>
    </row>
    <row r="586" spans="3:3">
      <c r="C586" s="178"/>
    </row>
    <row r="587" spans="3:3">
      <c r="C587" s="178"/>
    </row>
    <row r="588" spans="3:3">
      <c r="C588" s="178"/>
    </row>
    <row r="589" spans="3:3">
      <c r="C589" s="178"/>
    </row>
    <row r="590" spans="3:3">
      <c r="C590" s="178"/>
    </row>
    <row r="591" spans="3:3">
      <c r="C591" s="178"/>
    </row>
    <row r="592" spans="3:3">
      <c r="C592" s="178"/>
    </row>
    <row r="593" spans="3:3">
      <c r="C593" s="178"/>
    </row>
    <row r="594" spans="3:3">
      <c r="C594" s="178"/>
    </row>
    <row r="595" spans="3:3">
      <c r="C595" s="178"/>
    </row>
    <row r="596" spans="3:3">
      <c r="C596" s="178"/>
    </row>
    <row r="597" spans="3:3">
      <c r="C597" s="178"/>
    </row>
    <row r="598" spans="3:3">
      <c r="C598" s="178"/>
    </row>
    <row r="599" spans="3:3">
      <c r="C599" s="178"/>
    </row>
    <row r="600" spans="3:3">
      <c r="C600" s="178"/>
    </row>
    <row r="601" spans="3:3">
      <c r="C601" s="178"/>
    </row>
    <row r="602" spans="3:3">
      <c r="C602" s="178"/>
    </row>
    <row r="603" spans="3:3">
      <c r="C603" s="178"/>
    </row>
    <row r="604" spans="3:3">
      <c r="C604" s="178"/>
    </row>
    <row r="605" spans="3:3">
      <c r="C605" s="178"/>
    </row>
    <row r="606" spans="3:3">
      <c r="C606" s="178"/>
    </row>
    <row r="607" spans="3:3">
      <c r="C607" s="178"/>
    </row>
    <row r="608" spans="3:3">
      <c r="C608" s="178"/>
    </row>
    <row r="609" spans="3:3">
      <c r="C609" s="178"/>
    </row>
    <row r="610" spans="3:3">
      <c r="C610" s="178"/>
    </row>
    <row r="611" spans="3:3">
      <c r="C611" s="178"/>
    </row>
    <row r="612" spans="3:3">
      <c r="C612" s="178"/>
    </row>
    <row r="613" spans="3:3">
      <c r="C613" s="178"/>
    </row>
    <row r="614" spans="3:3">
      <c r="C614" s="178"/>
    </row>
    <row r="615" spans="3:3">
      <c r="C615" s="178"/>
    </row>
    <row r="616" spans="3:3">
      <c r="C616" s="178"/>
    </row>
    <row r="617" spans="3:3">
      <c r="C617" s="178"/>
    </row>
    <row r="618" spans="3:3">
      <c r="C618" s="178"/>
    </row>
    <row r="619" spans="3:3">
      <c r="C619" s="178"/>
    </row>
    <row r="620" spans="3:3">
      <c r="C620" s="178"/>
    </row>
    <row r="621" spans="3:3">
      <c r="C621" s="178"/>
    </row>
    <row r="622" spans="3:3">
      <c r="C622" s="178"/>
    </row>
    <row r="623" spans="3:3">
      <c r="C623" s="178"/>
    </row>
    <row r="624" spans="3:3">
      <c r="C624" s="178"/>
    </row>
    <row r="625" spans="3:3">
      <c r="C625" s="178"/>
    </row>
    <row r="626" spans="3:3">
      <c r="C626" s="178"/>
    </row>
    <row r="627" spans="3:3">
      <c r="C627" s="178"/>
    </row>
    <row r="628" spans="3:3">
      <c r="C628" s="178"/>
    </row>
    <row r="629" spans="3:3">
      <c r="C629" s="178"/>
    </row>
    <row r="630" spans="3:3">
      <c r="C630" s="178"/>
    </row>
    <row r="631" spans="3:3">
      <c r="C631" s="178"/>
    </row>
    <row r="632" spans="3:3">
      <c r="C632" s="178"/>
    </row>
    <row r="633" spans="3:3">
      <c r="C633" s="178"/>
    </row>
    <row r="634" spans="3:3">
      <c r="C634" s="178"/>
    </row>
    <row r="635" spans="3:3">
      <c r="C635" s="178"/>
    </row>
    <row r="636" spans="3:3">
      <c r="C636" s="178"/>
    </row>
    <row r="637" spans="3:3">
      <c r="C637" s="178"/>
    </row>
    <row r="638" spans="3:3">
      <c r="C638" s="178"/>
    </row>
    <row r="639" spans="3:3">
      <c r="C639" s="178"/>
    </row>
    <row r="640" spans="3:3">
      <c r="C640" s="178"/>
    </row>
    <row r="641" spans="3:3">
      <c r="C641" s="178"/>
    </row>
    <row r="642" spans="3:3">
      <c r="C642" s="178"/>
    </row>
    <row r="643" spans="3:3">
      <c r="C643" s="178"/>
    </row>
    <row r="644" spans="3:3">
      <c r="C644" s="178"/>
    </row>
    <row r="645" spans="3:3">
      <c r="C645" s="178"/>
    </row>
    <row r="646" spans="3:3">
      <c r="C646" s="178"/>
    </row>
    <row r="647" spans="3:3">
      <c r="C647" s="178"/>
    </row>
    <row r="648" spans="3:3">
      <c r="C648" s="178"/>
    </row>
    <row r="649" spans="3:3">
      <c r="C649" s="178"/>
    </row>
    <row r="650" spans="3:3">
      <c r="C650" s="178"/>
    </row>
    <row r="651" spans="3:3">
      <c r="C651" s="178"/>
    </row>
    <row r="652" spans="3:3">
      <c r="C652" s="178"/>
    </row>
    <row r="653" spans="3:3">
      <c r="C653" s="178"/>
    </row>
    <row r="654" spans="3:3">
      <c r="C654" s="178"/>
    </row>
    <row r="655" spans="3:3">
      <c r="C655" s="178"/>
    </row>
    <row r="656" spans="3:3">
      <c r="C656" s="178"/>
    </row>
    <row r="657" spans="3:3">
      <c r="C657" s="178"/>
    </row>
    <row r="658" spans="3:3">
      <c r="C658" s="178"/>
    </row>
    <row r="659" spans="3:3">
      <c r="C659" s="178"/>
    </row>
    <row r="660" spans="3:3">
      <c r="C660" s="178"/>
    </row>
    <row r="661" spans="3:3">
      <c r="C661" s="178"/>
    </row>
    <row r="662" spans="3:3">
      <c r="C662" s="178"/>
    </row>
    <row r="663" spans="3:3">
      <c r="C663" s="178"/>
    </row>
    <row r="664" spans="3:3">
      <c r="C664" s="178"/>
    </row>
    <row r="665" spans="3:3">
      <c r="C665" s="178"/>
    </row>
    <row r="666" spans="3:3">
      <c r="C666" s="178"/>
    </row>
    <row r="667" spans="3:3">
      <c r="C667" s="178"/>
    </row>
    <row r="668" spans="3:3">
      <c r="C668" s="178"/>
    </row>
    <row r="669" spans="3:3">
      <c r="C669" s="178"/>
    </row>
    <row r="670" spans="3:3">
      <c r="C670" s="178"/>
    </row>
    <row r="671" spans="3:3">
      <c r="C671" s="178"/>
    </row>
    <row r="672" spans="3:3">
      <c r="C672" s="178"/>
    </row>
    <row r="673" spans="3:3">
      <c r="C673" s="178"/>
    </row>
    <row r="674" spans="3:3">
      <c r="C674" s="178"/>
    </row>
    <row r="675" spans="3:3">
      <c r="C675" s="178"/>
    </row>
    <row r="676" spans="3:3">
      <c r="C676" s="178"/>
    </row>
    <row r="677" spans="3:3">
      <c r="C677" s="178"/>
    </row>
    <row r="678" spans="3:3">
      <c r="C678" s="178"/>
    </row>
    <row r="679" spans="3:3">
      <c r="C679" s="178"/>
    </row>
    <row r="680" spans="3:3">
      <c r="C680" s="178"/>
    </row>
    <row r="681" spans="3:3">
      <c r="C681" s="178"/>
    </row>
    <row r="682" spans="3:3">
      <c r="C682" s="178"/>
    </row>
    <row r="683" spans="3:3">
      <c r="C683" s="178"/>
    </row>
    <row r="684" spans="3:3">
      <c r="C684" s="178"/>
    </row>
    <row r="685" spans="3:3">
      <c r="C685" s="178"/>
    </row>
    <row r="686" spans="3:3">
      <c r="C686" s="178"/>
    </row>
    <row r="687" spans="3:3">
      <c r="C687" s="178"/>
    </row>
    <row r="688" spans="3:3">
      <c r="C688" s="178"/>
    </row>
    <row r="689" spans="3:3">
      <c r="C689" s="178"/>
    </row>
    <row r="690" spans="3:3">
      <c r="C690" s="178"/>
    </row>
    <row r="691" spans="3:3">
      <c r="C691" s="178"/>
    </row>
    <row r="692" spans="3:3">
      <c r="C692" s="178"/>
    </row>
    <row r="693" spans="3:3">
      <c r="C693" s="178"/>
    </row>
    <row r="694" spans="3:3">
      <c r="C694" s="178"/>
    </row>
    <row r="695" spans="3:3">
      <c r="C695" s="178"/>
    </row>
    <row r="696" spans="3:3">
      <c r="C696" s="178"/>
    </row>
    <row r="697" spans="3:3">
      <c r="C697" s="178"/>
    </row>
    <row r="698" spans="3:3">
      <c r="C698" s="178"/>
    </row>
    <row r="699" spans="3:3">
      <c r="C699" s="178"/>
    </row>
    <row r="700" spans="3:3">
      <c r="C700" s="178"/>
    </row>
    <row r="701" spans="3:3">
      <c r="C701" s="178"/>
    </row>
    <row r="702" spans="3:3">
      <c r="C702" s="178"/>
    </row>
    <row r="703" spans="3:3">
      <c r="C703" s="178"/>
    </row>
    <row r="704" spans="3:3">
      <c r="C704" s="178"/>
    </row>
    <row r="705" spans="3:3">
      <c r="C705" s="178"/>
    </row>
    <row r="706" spans="3:3">
      <c r="C706" s="178"/>
    </row>
    <row r="707" spans="3:3">
      <c r="C707" s="178"/>
    </row>
    <row r="708" spans="3:3">
      <c r="C708" s="178"/>
    </row>
    <row r="709" spans="3:3">
      <c r="C709" s="178"/>
    </row>
    <row r="710" spans="3:3">
      <c r="C710" s="178"/>
    </row>
    <row r="711" spans="3:3">
      <c r="C711" s="178"/>
    </row>
    <row r="712" spans="3:3">
      <c r="C712" s="178"/>
    </row>
    <row r="713" spans="3:3">
      <c r="C713" s="178"/>
    </row>
    <row r="714" spans="3:3">
      <c r="C714" s="178"/>
    </row>
    <row r="715" spans="3:3">
      <c r="C715" s="178"/>
    </row>
    <row r="716" spans="3:3">
      <c r="C716" s="178"/>
    </row>
    <row r="717" spans="3:3">
      <c r="C717" s="178"/>
    </row>
    <row r="718" spans="3:3">
      <c r="C718" s="178"/>
    </row>
    <row r="719" spans="3:3">
      <c r="C719" s="178"/>
    </row>
    <row r="720" spans="3:3">
      <c r="C720" s="178"/>
    </row>
    <row r="721" spans="3:3">
      <c r="C721" s="178"/>
    </row>
    <row r="722" spans="3:3">
      <c r="C722" s="178"/>
    </row>
    <row r="723" spans="3:3">
      <c r="C723" s="178"/>
    </row>
    <row r="724" spans="3:3">
      <c r="C724" s="178"/>
    </row>
    <row r="725" spans="3:3">
      <c r="C725" s="178"/>
    </row>
    <row r="726" spans="3:3">
      <c r="C726" s="178"/>
    </row>
    <row r="727" spans="3:3">
      <c r="C727" s="178"/>
    </row>
    <row r="728" spans="3:3">
      <c r="C728" s="178"/>
    </row>
    <row r="729" spans="3:3">
      <c r="C729" s="178"/>
    </row>
    <row r="730" spans="3:3">
      <c r="C730" s="178"/>
    </row>
    <row r="731" spans="3:3">
      <c r="C731" s="178"/>
    </row>
    <row r="732" spans="3:3">
      <c r="C732" s="178"/>
    </row>
    <row r="733" spans="3:3">
      <c r="C733" s="178"/>
    </row>
    <row r="734" spans="3:3">
      <c r="C734" s="178"/>
    </row>
    <row r="735" spans="3:3">
      <c r="C735" s="178"/>
    </row>
    <row r="736" spans="3:3">
      <c r="C736" s="178"/>
    </row>
    <row r="737" spans="3:3">
      <c r="C737" s="178"/>
    </row>
    <row r="738" spans="3:3">
      <c r="C738" s="178"/>
    </row>
    <row r="739" spans="3:3">
      <c r="C739" s="178"/>
    </row>
    <row r="740" spans="3:3">
      <c r="C740" s="178"/>
    </row>
    <row r="741" spans="3:3">
      <c r="C741" s="178"/>
    </row>
    <row r="742" spans="3:3">
      <c r="C742" s="178"/>
    </row>
    <row r="743" spans="3:3">
      <c r="C743" s="178"/>
    </row>
    <row r="744" spans="3:3">
      <c r="C744" s="178"/>
    </row>
    <row r="745" spans="3:3">
      <c r="C745" s="178"/>
    </row>
    <row r="746" spans="3:3">
      <c r="C746" s="178"/>
    </row>
    <row r="747" spans="3:3">
      <c r="C747" s="178"/>
    </row>
    <row r="748" spans="3:3">
      <c r="C748" s="178"/>
    </row>
    <row r="749" spans="3:3">
      <c r="C749" s="178"/>
    </row>
    <row r="750" spans="3:3">
      <c r="C750" s="178"/>
    </row>
    <row r="751" spans="3:3">
      <c r="C751" s="178"/>
    </row>
    <row r="752" spans="3:3">
      <c r="C752" s="178"/>
    </row>
    <row r="753" spans="3:3">
      <c r="C753" s="178"/>
    </row>
    <row r="754" spans="3:3">
      <c r="C754" s="178"/>
    </row>
    <row r="755" spans="3:3">
      <c r="C755" s="178"/>
    </row>
    <row r="756" spans="3:3">
      <c r="C756" s="178"/>
    </row>
    <row r="757" spans="3:3">
      <c r="C757" s="178"/>
    </row>
    <row r="758" spans="3:3">
      <c r="C758" s="178"/>
    </row>
    <row r="759" spans="3:3">
      <c r="C759" s="178"/>
    </row>
    <row r="760" spans="3:3">
      <c r="C760" s="178"/>
    </row>
    <row r="761" spans="3:3">
      <c r="C761" s="178"/>
    </row>
    <row r="762" spans="3:3">
      <c r="C762" s="178"/>
    </row>
    <row r="763" spans="3:3">
      <c r="C763" s="178"/>
    </row>
    <row r="764" spans="3:3">
      <c r="C764" s="178"/>
    </row>
    <row r="765" spans="3:3">
      <c r="C765" s="178"/>
    </row>
    <row r="766" spans="3:3">
      <c r="C766" s="178"/>
    </row>
    <row r="767" spans="3:3">
      <c r="C767" s="178"/>
    </row>
    <row r="768" spans="3:3">
      <c r="C768" s="178"/>
    </row>
    <row r="769" spans="3:3">
      <c r="C769" s="178"/>
    </row>
    <row r="770" spans="3:3">
      <c r="C770" s="178"/>
    </row>
    <row r="771" spans="3:3">
      <c r="C771" s="178"/>
    </row>
    <row r="772" spans="3:3">
      <c r="C772" s="178"/>
    </row>
    <row r="773" spans="3:3">
      <c r="C773" s="178"/>
    </row>
    <row r="774" spans="3:3">
      <c r="C774" s="178"/>
    </row>
    <row r="775" spans="3:3">
      <c r="C775" s="178"/>
    </row>
    <row r="776" spans="3:3">
      <c r="C776" s="179"/>
    </row>
    <row r="777" spans="3:3">
      <c r="C777" s="179"/>
    </row>
    <row r="778" spans="3:3">
      <c r="C778" s="179"/>
    </row>
    <row r="779" spans="3:3">
      <c r="C779" s="179"/>
    </row>
    <row r="780" spans="3:3">
      <c r="C780" s="179"/>
    </row>
    <row r="781" spans="3:3">
      <c r="C781" s="179"/>
    </row>
    <row r="782" spans="3:3">
      <c r="C782" s="179"/>
    </row>
    <row r="783" spans="3:3">
      <c r="C783" s="179"/>
    </row>
    <row r="784" spans="3:3">
      <c r="C784" s="179"/>
    </row>
    <row r="785" spans="3:3">
      <c r="C785" s="179"/>
    </row>
    <row r="786" spans="3:3">
      <c r="C786" s="179"/>
    </row>
    <row r="787" spans="3:3">
      <c r="C787" s="179"/>
    </row>
    <row r="788" spans="3:3">
      <c r="C788" s="179"/>
    </row>
    <row r="789" spans="3:3">
      <c r="C789" s="179"/>
    </row>
    <row r="790" spans="3:3">
      <c r="C790" s="179"/>
    </row>
    <row r="791" spans="3:3">
      <c r="C791" s="179"/>
    </row>
    <row r="792" spans="3:3">
      <c r="C792" s="179"/>
    </row>
    <row r="793" spans="3:3">
      <c r="C793" s="179"/>
    </row>
    <row r="794" spans="3:3">
      <c r="C794" s="179"/>
    </row>
    <row r="795" spans="3:3">
      <c r="C795" s="179"/>
    </row>
    <row r="796" spans="3:3">
      <c r="C796" s="179"/>
    </row>
    <row r="797" spans="3:3">
      <c r="C797" s="179"/>
    </row>
    <row r="798" spans="3:3">
      <c r="C798" s="179"/>
    </row>
    <row r="799" spans="3:3">
      <c r="C799" s="179"/>
    </row>
    <row r="800" spans="3:3">
      <c r="C800" s="179"/>
    </row>
    <row r="801" spans="3:3">
      <c r="C801" s="179"/>
    </row>
    <row r="802" spans="3:3">
      <c r="C802" s="179"/>
    </row>
    <row r="803" spans="3:3">
      <c r="C803" s="179"/>
    </row>
    <row r="804" spans="3:3">
      <c r="C804" s="179"/>
    </row>
    <row r="805" spans="3:3">
      <c r="C805" s="179"/>
    </row>
    <row r="806" spans="3:3">
      <c r="C806" s="179"/>
    </row>
    <row r="807" spans="3:3">
      <c r="C807" s="179"/>
    </row>
    <row r="808" spans="3:3">
      <c r="C808" s="179"/>
    </row>
    <row r="809" spans="3:3">
      <c r="C809" s="179"/>
    </row>
    <row r="810" spans="3:3">
      <c r="C810" s="179"/>
    </row>
    <row r="811" spans="3:3">
      <c r="C811" s="179"/>
    </row>
    <row r="812" spans="3:3">
      <c r="C812" s="179"/>
    </row>
    <row r="813" spans="3:3">
      <c r="C813" s="179"/>
    </row>
    <row r="814" spans="3:3">
      <c r="C814" s="179"/>
    </row>
    <row r="815" spans="3:3">
      <c r="C815" s="179"/>
    </row>
    <row r="816" spans="3:3">
      <c r="C816" s="179"/>
    </row>
    <row r="817" spans="3:3">
      <c r="C817" s="179"/>
    </row>
    <row r="818" spans="3:3">
      <c r="C818" s="179"/>
    </row>
    <row r="819" spans="3:3">
      <c r="C819" s="179"/>
    </row>
    <row r="820" spans="3:3">
      <c r="C820" s="179"/>
    </row>
    <row r="821" spans="3:3">
      <c r="C821" s="179"/>
    </row>
    <row r="822" spans="3:3">
      <c r="C822" s="179"/>
    </row>
    <row r="823" spans="3:3">
      <c r="C823" s="179"/>
    </row>
    <row r="824" spans="3:3">
      <c r="C824" s="179"/>
    </row>
    <row r="825" spans="3:3">
      <c r="C825" s="179"/>
    </row>
    <row r="826" spans="3:3">
      <c r="C826" s="179"/>
    </row>
    <row r="827" spans="3:3">
      <c r="C827" s="179"/>
    </row>
    <row r="828" spans="3:3">
      <c r="C828" s="179"/>
    </row>
    <row r="829" spans="3:3">
      <c r="C829" s="179"/>
    </row>
    <row r="830" spans="3:3">
      <c r="C830" s="179"/>
    </row>
    <row r="831" spans="3:3">
      <c r="C831" s="179"/>
    </row>
    <row r="832" spans="3:3">
      <c r="C832" s="179"/>
    </row>
    <row r="833" spans="3:3">
      <c r="C833" s="179"/>
    </row>
    <row r="834" spans="3:3">
      <c r="C834" s="179"/>
    </row>
    <row r="835" spans="3:3">
      <c r="C835" s="179"/>
    </row>
    <row r="836" spans="3:3">
      <c r="C836" s="179"/>
    </row>
    <row r="837" spans="3:3">
      <c r="C837" s="179"/>
    </row>
    <row r="838" spans="3:3">
      <c r="C838" s="179"/>
    </row>
    <row r="839" spans="3:3">
      <c r="C839" s="179"/>
    </row>
    <row r="840" spans="3:3">
      <c r="C840" s="179"/>
    </row>
    <row r="841" spans="3:3">
      <c r="C841" s="179"/>
    </row>
    <row r="842" spans="3:3">
      <c r="C842" s="179"/>
    </row>
    <row r="843" spans="3:3">
      <c r="C843" s="179"/>
    </row>
    <row r="844" spans="3:3">
      <c r="C844" s="179"/>
    </row>
    <row r="845" spans="3:3">
      <c r="C845" s="179"/>
    </row>
    <row r="846" spans="3:3">
      <c r="C846" s="179"/>
    </row>
    <row r="847" spans="3:3">
      <c r="C847" s="179"/>
    </row>
    <row r="848" spans="3:3">
      <c r="C848" s="179"/>
    </row>
    <row r="849" spans="3:3">
      <c r="C849" s="179"/>
    </row>
    <row r="850" spans="3:3">
      <c r="C850" s="179"/>
    </row>
    <row r="851" spans="3:3">
      <c r="C851" s="179"/>
    </row>
    <row r="852" spans="3:3">
      <c r="C852" s="179"/>
    </row>
    <row r="853" spans="3:3">
      <c r="C853" s="179"/>
    </row>
    <row r="854" spans="3:3">
      <c r="C854" s="179"/>
    </row>
    <row r="855" spans="3:3">
      <c r="C855" s="179"/>
    </row>
    <row r="856" spans="3:3">
      <c r="C856" s="179"/>
    </row>
    <row r="857" spans="3:3">
      <c r="C857" s="179"/>
    </row>
    <row r="858" spans="3:3">
      <c r="C858" s="179"/>
    </row>
    <row r="859" spans="3:3">
      <c r="C859" s="179"/>
    </row>
    <row r="860" spans="3:3">
      <c r="C860" s="179"/>
    </row>
    <row r="861" spans="3:3">
      <c r="C861" s="179"/>
    </row>
    <row r="862" spans="3:3">
      <c r="C862" s="179"/>
    </row>
    <row r="863" spans="3:3">
      <c r="C863" s="179"/>
    </row>
    <row r="864" spans="3:3">
      <c r="C864" s="179"/>
    </row>
  </sheetData>
  <mergeCells count="2">
    <mergeCell ref="B435:C435"/>
    <mergeCell ref="B443:C443"/>
  </mergeCells>
  <phoneticPr fontId="0" type="noConversion"/>
  <pageMargins left="0.7" right="0.7" top="0.5" bottom="0.75" header="0.3" footer="0.3"/>
  <pageSetup scale="64" fitToHeight="0" orientation="portrait" r:id="rId1"/>
  <headerFooter alignWithMargins="0">
    <oddFooter>Page &amp;P of &amp;N</oddFooter>
  </headerFooter>
  <rowBreaks count="9" manualBreakCount="9">
    <brk id="49" max="7" man="1"/>
    <brk id="95" max="7" man="1"/>
    <brk id="146" max="7" man="1"/>
    <brk id="184" max="7" man="1"/>
    <brk id="212" max="7" man="1"/>
    <brk id="253" max="7" man="1"/>
    <brk id="298" max="7" man="1"/>
    <brk id="330" max="7" man="1"/>
    <brk id="376" max="7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2BE2-5136-44A9-A95F-CC97B56C6E05}">
  <dimension ref="A1"/>
  <sheetViews>
    <sheetView workbookViewId="0"/>
    <sheetView workbookViewId="1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transitionEvaluation="1" codeName="Sheet3"/>
  <dimension ref="A1:V41"/>
  <sheetViews>
    <sheetView workbookViewId="0"/>
    <sheetView workbookViewId="1"/>
  </sheetViews>
  <sheetFormatPr defaultColWidth="9.76953125" defaultRowHeight="15"/>
  <cols>
    <col min="1" max="1" width="4.76953125" customWidth="1"/>
    <col min="2" max="2" width="5.76953125" customWidth="1"/>
    <col min="3" max="3" width="33.76953125" customWidth="1"/>
    <col min="4" max="4" width="6.76953125" customWidth="1"/>
    <col min="5" max="5" width="5.76953125" customWidth="1"/>
    <col min="6" max="6" width="10.76953125" customWidth="1"/>
    <col min="7" max="7" width="11.76953125" customWidth="1"/>
    <col min="8" max="8" width="12.76953125" customWidth="1"/>
    <col min="9" max="9" width="4.76953125" customWidth="1"/>
    <col min="10" max="10" width="27.76953125" customWidth="1"/>
    <col min="11" max="11" width="15.76953125" customWidth="1"/>
    <col min="12" max="20" width="16.76953125" customWidth="1"/>
  </cols>
  <sheetData>
    <row r="1" spans="1:22" ht="58.5" customHeight="1"/>
    <row r="2" spans="1:22" ht="22.5">
      <c r="A2" s="1"/>
      <c r="B2" s="2"/>
      <c r="C2" s="3" t="str">
        <f>Estimate!C2</f>
        <v>Town House Renovation</v>
      </c>
      <c r="D2" s="4"/>
      <c r="E2" s="5"/>
      <c r="F2" s="6" t="s">
        <v>70</v>
      </c>
      <c r="G2" s="138" t="str">
        <f>RFE!$E$14</f>
        <v>24-038C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>
      <c r="A3" s="5"/>
      <c r="B3" s="4"/>
      <c r="C3" s="7" t="str">
        <f>Estimate!C3</f>
        <v>60 Bank Street</v>
      </c>
      <c r="D3" s="4"/>
      <c r="E3" s="5"/>
      <c r="F3" s="6" t="s">
        <v>10</v>
      </c>
      <c r="G3" s="8">
        <f>RFE!$F$3</f>
        <v>0</v>
      </c>
      <c r="H3" s="9"/>
      <c r="I3" s="9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9"/>
    </row>
    <row r="4" spans="1:22">
      <c r="A4" s="5"/>
      <c r="B4" s="4"/>
      <c r="C4" s="7" t="str">
        <f>Estimate!C4</f>
        <v>New York, NY 10014</v>
      </c>
      <c r="D4" s="4"/>
      <c r="E4" s="5"/>
      <c r="F4" s="6" t="s">
        <v>11</v>
      </c>
      <c r="G4" s="8">
        <f ca="1">TODAY()</f>
        <v>45965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>
      <c r="A5" s="5"/>
      <c r="B5" s="4"/>
      <c r="C5" s="7" t="e">
        <f>Estimate!#REF!</f>
        <v>#REF!</v>
      </c>
      <c r="D5" s="4"/>
      <c r="E5" s="5"/>
      <c r="F5" s="6" t="s">
        <v>12</v>
      </c>
      <c r="G5" s="147">
        <f>RFE!$E$8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>
      <c r="A6" s="5"/>
      <c r="B6" s="4"/>
      <c r="C6" s="7"/>
      <c r="D6" s="4"/>
      <c r="E6" s="5"/>
      <c r="F6" s="6"/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>
      <c r="A7" s="5"/>
      <c r="B7" s="4"/>
      <c r="C7" s="7"/>
      <c r="D7" s="4"/>
      <c r="E7" s="5"/>
      <c r="F7" s="6"/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6.899999999999999" customHeight="1">
      <c r="A8" s="5"/>
      <c r="B8" s="5"/>
      <c r="C8" s="10"/>
      <c r="D8" s="11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8" thickBot="1">
      <c r="A9" s="12" t="s">
        <v>13</v>
      </c>
      <c r="B9" s="12"/>
      <c r="C9" s="13" t="s">
        <v>14</v>
      </c>
      <c r="D9" s="13" t="s">
        <v>15</v>
      </c>
      <c r="E9" s="13" t="s">
        <v>16</v>
      </c>
      <c r="F9" s="13" t="s">
        <v>17</v>
      </c>
      <c r="G9" s="13" t="s">
        <v>18</v>
      </c>
      <c r="H9" s="13" t="s">
        <v>19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22.5" customHeight="1" thickTop="1" thickBot="1">
      <c r="A10" s="14"/>
      <c r="B10" s="33" t="s">
        <v>62</v>
      </c>
      <c r="C10" s="34"/>
      <c r="D10" s="42"/>
      <c r="E10" s="44"/>
      <c r="F10" s="44"/>
      <c r="G10" s="43"/>
      <c r="H10" s="39"/>
    </row>
    <row r="11" spans="1:22" ht="15" customHeight="1">
      <c r="A11" s="14"/>
      <c r="B11" s="21" t="s">
        <v>20</v>
      </c>
      <c r="C11" s="22" t="s">
        <v>63</v>
      </c>
      <c r="D11" s="23"/>
      <c r="E11" s="17"/>
      <c r="F11" s="17"/>
      <c r="G11" s="41"/>
      <c r="H11" s="30"/>
    </row>
    <row r="12" spans="1:22" ht="15" customHeight="1">
      <c r="A12" s="14"/>
      <c r="B12" s="24"/>
      <c r="C12" s="31" t="s">
        <v>64</v>
      </c>
      <c r="D12" s="26"/>
      <c r="E12" s="27" t="s">
        <v>23</v>
      </c>
      <c r="F12" s="28">
        <f>56*7</f>
        <v>392</v>
      </c>
      <c r="G12" s="29">
        <f>ROUND(SUM(D12)*F12,0)</f>
        <v>0</v>
      </c>
      <c r="H12" s="30"/>
    </row>
    <row r="13" spans="1:22" ht="15" customHeight="1">
      <c r="A13" s="14"/>
      <c r="B13" s="24"/>
      <c r="C13" s="31" t="s">
        <v>24</v>
      </c>
      <c r="D13" s="26"/>
      <c r="E13" s="27" t="s">
        <v>23</v>
      </c>
      <c r="F13" s="28">
        <f>8*70</f>
        <v>560</v>
      </c>
      <c r="G13" s="29">
        <f>ROUND(SUM(D13)*F13,0)</f>
        <v>0</v>
      </c>
      <c r="H13" s="30"/>
    </row>
    <row r="14" spans="1:22" ht="15" customHeight="1">
      <c r="A14" s="14"/>
      <c r="B14" s="21" t="s">
        <v>20</v>
      </c>
      <c r="C14" s="22" t="s">
        <v>65</v>
      </c>
      <c r="D14" s="23"/>
      <c r="E14" s="17"/>
      <c r="F14" s="18"/>
      <c r="G14" s="41"/>
      <c r="H14" s="30"/>
    </row>
    <row r="15" spans="1:22" ht="15" customHeight="1">
      <c r="A15" s="14"/>
      <c r="B15" s="24"/>
      <c r="C15" s="31" t="s">
        <v>64</v>
      </c>
      <c r="D15" s="26"/>
      <c r="E15" s="27" t="s">
        <v>146</v>
      </c>
      <c r="F15" s="28">
        <f>+F12*5</f>
        <v>1960</v>
      </c>
      <c r="G15" s="29">
        <f>ROUND(SUM(D15)*F15,0)</f>
        <v>0</v>
      </c>
      <c r="H15" s="30"/>
      <c r="I15" s="5"/>
    </row>
    <row r="16" spans="1:22" ht="15" customHeight="1" thickBot="1">
      <c r="A16" s="14"/>
      <c r="B16" s="24"/>
      <c r="C16" s="34" t="s">
        <v>24</v>
      </c>
      <c r="D16" s="42"/>
      <c r="E16" s="36" t="s">
        <v>146</v>
      </c>
      <c r="F16" s="37">
        <f>+F13*5</f>
        <v>2800</v>
      </c>
      <c r="G16" s="38">
        <f>ROUND(SUM(D16)*F16,0)</f>
        <v>0</v>
      </c>
      <c r="H16" s="20"/>
      <c r="I16" s="5"/>
    </row>
    <row r="17" spans="1:22" ht="21.75" customHeight="1">
      <c r="A17" s="14"/>
      <c r="B17" s="46" t="s">
        <v>100</v>
      </c>
      <c r="C17" s="15"/>
      <c r="D17" s="16"/>
      <c r="E17" s="17"/>
      <c r="F17" s="18"/>
      <c r="G17" s="19"/>
      <c r="H17" s="2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5" customHeight="1">
      <c r="A18" s="14"/>
      <c r="B18" s="21" t="s">
        <v>20</v>
      </c>
      <c r="C18" s="22" t="s">
        <v>21</v>
      </c>
      <c r="D18" s="23"/>
      <c r="E18" s="17"/>
      <c r="F18" s="18"/>
      <c r="G18" s="19"/>
      <c r="H18" s="20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15" customHeight="1">
      <c r="A19" s="14"/>
      <c r="B19" s="24"/>
      <c r="C19" s="25" t="s">
        <v>22</v>
      </c>
      <c r="D19" s="26"/>
      <c r="E19" s="27" t="s">
        <v>23</v>
      </c>
      <c r="F19" s="28">
        <f>85*8</f>
        <v>680</v>
      </c>
      <c r="G19" s="29">
        <f>ROUND(SUM(D19)*F19,0)</f>
        <v>0</v>
      </c>
      <c r="H19" s="30"/>
      <c r="I19" s="5"/>
      <c r="J19" s="5">
        <f>365/8</f>
        <v>45.625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15" customHeight="1">
      <c r="A20" s="14"/>
      <c r="B20" s="24"/>
      <c r="C20" s="25" t="s">
        <v>24</v>
      </c>
      <c r="D20" s="26"/>
      <c r="E20" s="27" t="s">
        <v>23</v>
      </c>
      <c r="F20" s="28">
        <v>560</v>
      </c>
      <c r="G20" s="29">
        <f>ROUND(SUM(D20)*F20,0)</f>
        <v>0</v>
      </c>
      <c r="H20" s="3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15" customHeight="1">
      <c r="A21" s="14"/>
      <c r="B21" s="24"/>
      <c r="C21" s="25" t="s">
        <v>25</v>
      </c>
      <c r="D21" s="26"/>
      <c r="E21" s="27" t="s">
        <v>23</v>
      </c>
      <c r="F21" s="28">
        <f>+F12</f>
        <v>392</v>
      </c>
      <c r="G21" s="29">
        <f>ROUND(SUM(D21)*F21,0)</f>
        <v>0</v>
      </c>
      <c r="H21" s="3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15" customHeight="1">
      <c r="A22" s="14"/>
      <c r="B22" s="24"/>
      <c r="C22" s="25" t="s">
        <v>26</v>
      </c>
      <c r="D22" s="26"/>
      <c r="E22" s="27" t="s">
        <v>147</v>
      </c>
      <c r="F22" s="28">
        <v>25</v>
      </c>
      <c r="G22" s="29">
        <f>ROUND(SUM(D22)*F22,0)</f>
        <v>0</v>
      </c>
      <c r="H22" s="30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5" customHeight="1">
      <c r="A23" s="14"/>
      <c r="B23" s="21" t="s">
        <v>20</v>
      </c>
      <c r="C23" s="22" t="s">
        <v>27</v>
      </c>
      <c r="D23" s="23"/>
      <c r="E23" s="17"/>
      <c r="F23" s="18"/>
      <c r="G23" s="19"/>
      <c r="H23" s="30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5" customHeight="1">
      <c r="A24" s="14"/>
      <c r="B24" s="24"/>
      <c r="C24" s="25" t="s">
        <v>28</v>
      </c>
      <c r="D24" s="26"/>
      <c r="E24" s="27" t="s">
        <v>148</v>
      </c>
      <c r="F24" s="28">
        <v>48</v>
      </c>
      <c r="G24" s="29">
        <f t="shared" ref="G24:G29" si="0">ROUND(SUM(D24)*F24,0)</f>
        <v>0</v>
      </c>
      <c r="H24" s="3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15" customHeight="1">
      <c r="A25" s="14"/>
      <c r="B25" s="24"/>
      <c r="C25" s="25" t="s">
        <v>29</v>
      </c>
      <c r="D25" s="26"/>
      <c r="E25" s="27" t="s">
        <v>148</v>
      </c>
      <c r="F25" s="28">
        <v>20</v>
      </c>
      <c r="G25" s="29">
        <f t="shared" si="0"/>
        <v>0</v>
      </c>
      <c r="H25" s="30"/>
    </row>
    <row r="26" spans="1:22" ht="15" customHeight="1">
      <c r="A26" s="14"/>
      <c r="B26" s="24"/>
      <c r="C26" s="25" t="s">
        <v>30</v>
      </c>
      <c r="D26" s="26"/>
      <c r="E26" s="27" t="s">
        <v>31</v>
      </c>
      <c r="F26" s="28">
        <v>25</v>
      </c>
      <c r="G26" s="29">
        <f t="shared" si="0"/>
        <v>0</v>
      </c>
      <c r="H26" s="30"/>
    </row>
    <row r="27" spans="1:22" ht="15" customHeight="1">
      <c r="A27" s="5"/>
      <c r="B27" s="24"/>
      <c r="C27" s="25" t="s">
        <v>32</v>
      </c>
      <c r="D27" s="26"/>
      <c r="E27" s="27" t="s">
        <v>31</v>
      </c>
      <c r="F27" s="28">
        <v>55</v>
      </c>
      <c r="G27" s="29">
        <f t="shared" si="0"/>
        <v>0</v>
      </c>
      <c r="H27" s="30"/>
    </row>
    <row r="28" spans="1:22" ht="15" customHeight="1">
      <c r="A28" s="14"/>
      <c r="B28" s="24"/>
      <c r="C28" s="25" t="s">
        <v>33</v>
      </c>
      <c r="D28" s="26"/>
      <c r="E28" s="27" t="s">
        <v>31</v>
      </c>
      <c r="F28" s="28">
        <v>8.5</v>
      </c>
      <c r="G28" s="29">
        <f t="shared" si="0"/>
        <v>0</v>
      </c>
      <c r="H28" s="30"/>
    </row>
    <row r="29" spans="1:22" ht="15" customHeight="1">
      <c r="A29" s="14"/>
      <c r="B29" s="24"/>
      <c r="C29" s="31" t="s">
        <v>34</v>
      </c>
      <c r="D29" s="26"/>
      <c r="E29" s="27" t="s">
        <v>31</v>
      </c>
      <c r="F29" s="28">
        <v>3.25</v>
      </c>
      <c r="G29" s="29">
        <f t="shared" si="0"/>
        <v>0</v>
      </c>
      <c r="H29" s="30"/>
    </row>
    <row r="30" spans="1:22" ht="15" customHeight="1">
      <c r="A30" s="14"/>
      <c r="B30" s="21" t="s">
        <v>20</v>
      </c>
      <c r="C30" s="32" t="s">
        <v>35</v>
      </c>
      <c r="D30" s="23"/>
      <c r="E30" s="17"/>
      <c r="F30" s="18"/>
      <c r="G30" s="19"/>
      <c r="H30" s="30"/>
    </row>
    <row r="31" spans="1:22" ht="15" customHeight="1">
      <c r="A31" s="14"/>
      <c r="B31" s="24"/>
      <c r="C31" s="25" t="s">
        <v>36</v>
      </c>
      <c r="D31" s="26"/>
      <c r="E31" s="27" t="s">
        <v>148</v>
      </c>
      <c r="F31" s="28">
        <v>23</v>
      </c>
      <c r="G31" s="29">
        <f>ROUND(SUM(D31)*F31,0)</f>
        <v>0</v>
      </c>
      <c r="H31" s="30"/>
    </row>
    <row r="32" spans="1:22" ht="15" customHeight="1">
      <c r="A32" s="14"/>
      <c r="B32" s="24"/>
      <c r="C32" s="25" t="s">
        <v>37</v>
      </c>
      <c r="D32" s="26"/>
      <c r="E32" s="27" t="s">
        <v>148</v>
      </c>
      <c r="F32" s="28">
        <v>1200</v>
      </c>
      <c r="G32" s="29">
        <f>ROUND(SUM(D32)*F32,0)</f>
        <v>0</v>
      </c>
      <c r="H32" s="30"/>
    </row>
    <row r="33" spans="1:9" ht="15" customHeight="1">
      <c r="A33" s="14"/>
      <c r="B33" s="21" t="s">
        <v>20</v>
      </c>
      <c r="C33" s="32" t="s">
        <v>38</v>
      </c>
      <c r="D33" s="23"/>
      <c r="E33" s="17"/>
      <c r="F33" s="18"/>
      <c r="G33" s="19"/>
      <c r="H33" s="30"/>
    </row>
    <row r="34" spans="1:9" ht="15" customHeight="1">
      <c r="A34" s="14"/>
      <c r="B34" s="24"/>
      <c r="C34" s="25" t="s">
        <v>39</v>
      </c>
      <c r="D34" s="26"/>
      <c r="E34" s="27" t="s">
        <v>146</v>
      </c>
      <c r="F34" s="28">
        <v>250</v>
      </c>
      <c r="G34" s="29">
        <f>ROUND(SUM(D34)*F34,0)</f>
        <v>0</v>
      </c>
      <c r="H34" s="30"/>
    </row>
    <row r="35" spans="1:9" ht="15" customHeight="1">
      <c r="A35" s="14"/>
      <c r="B35" s="24"/>
      <c r="C35" s="25" t="s">
        <v>40</v>
      </c>
      <c r="D35" s="26"/>
      <c r="E35" s="27" t="s">
        <v>148</v>
      </c>
      <c r="F35" s="28">
        <v>1.75</v>
      </c>
      <c r="G35" s="29">
        <f>ROUND(SUM(D35)*F35,0)</f>
        <v>0</v>
      </c>
      <c r="H35" s="30"/>
    </row>
    <row r="36" spans="1:9" ht="15" customHeight="1">
      <c r="A36" s="14"/>
      <c r="B36" s="24"/>
      <c r="C36" s="25" t="s">
        <v>41</v>
      </c>
      <c r="D36" s="26"/>
      <c r="E36" s="27" t="s">
        <v>42</v>
      </c>
      <c r="F36" s="28">
        <v>500</v>
      </c>
      <c r="G36" s="29">
        <f>ROUND(SUM(D36)*F36,0)</f>
        <v>0</v>
      </c>
      <c r="H36" s="30"/>
    </row>
    <row r="37" spans="1:9" ht="15" customHeight="1" thickBot="1">
      <c r="A37" s="14"/>
      <c r="B37" s="33"/>
      <c r="C37" s="34" t="s">
        <v>43</v>
      </c>
      <c r="D37" s="35"/>
      <c r="E37" s="36" t="s">
        <v>42</v>
      </c>
      <c r="F37" s="37">
        <v>1500</v>
      </c>
      <c r="G37" s="38">
        <f>ROUND(SUM(D37)*F37,0)</f>
        <v>0</v>
      </c>
      <c r="H37" s="39">
        <f>SUM(G17:G37)</f>
        <v>0</v>
      </c>
    </row>
    <row r="38" spans="1:9" ht="15" customHeight="1">
      <c r="I38" s="40"/>
    </row>
    <row r="39" spans="1:9" ht="1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5" customHeight="1">
      <c r="A40" s="5"/>
      <c r="B40" s="5"/>
      <c r="C40" s="5"/>
      <c r="D40" s="5"/>
      <c r="E40" s="5"/>
      <c r="F40" s="5"/>
      <c r="G40" s="40"/>
      <c r="H40" s="40"/>
      <c r="I40" s="5"/>
    </row>
    <row r="41" spans="1:9" ht="22.5">
      <c r="A41" s="5"/>
      <c r="B41" s="45"/>
      <c r="C41" s="5"/>
      <c r="D41" s="5"/>
      <c r="E41" s="5"/>
      <c r="F41" s="5"/>
      <c r="G41" s="40"/>
      <c r="H41" s="40"/>
    </row>
  </sheetData>
  <phoneticPr fontId="0" type="noConversion"/>
  <pageMargins left="0.317" right="0.40300000000000002" top="1.25" bottom="0.3" header="0.5" footer="0.25"/>
  <pageSetup scale="80" orientation="portrait" horizontalDpi="2400" verticalDpi="2400" r:id="rId1"/>
  <headerFooter alignWithMargins="0">
    <oddFooter>1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transitionEvaluation="1" codeName="Sheet5">
    <pageSetUpPr fitToPage="1"/>
  </sheetPr>
  <dimension ref="A1:S116"/>
  <sheetViews>
    <sheetView topLeftCell="A40" workbookViewId="0">
      <selection activeCell="A22" sqref="A22:XFD22"/>
    </sheetView>
    <sheetView topLeftCell="A8" workbookViewId="1">
      <pane xSplit="3" ySplit="2" topLeftCell="D15" activePane="bottomRight" state="frozen"/>
      <selection activeCell="A8" sqref="A8"/>
      <selection pane="topRight" activeCell="D8" sqref="D8"/>
      <selection pane="bottomLeft" activeCell="A10" sqref="A10"/>
      <selection pane="bottomRight" activeCell="J35" sqref="J35"/>
    </sheetView>
  </sheetViews>
  <sheetFormatPr defaultColWidth="9.76953125" defaultRowHeight="15"/>
  <cols>
    <col min="1" max="1" width="6.76953125" style="54" customWidth="1"/>
    <col min="2" max="2" width="42.76953125" style="54" customWidth="1"/>
    <col min="3" max="4" width="12.76953125" style="54" customWidth="1"/>
    <col min="5" max="5" width="15.453125" style="384" customWidth="1"/>
    <col min="6" max="6" width="15.453125" style="384" hidden="1" customWidth="1"/>
    <col min="7" max="7" width="13.76953125" style="384" customWidth="1"/>
    <col min="8" max="8" width="17" style="384" customWidth="1"/>
    <col min="9" max="9" width="12.76953125" style="384" customWidth="1"/>
    <col min="10" max="10" width="17" style="384" customWidth="1"/>
    <col min="11" max="11" width="12.76953125" style="384" customWidth="1"/>
    <col min="12" max="12" width="16.76953125" style="54" customWidth="1"/>
    <col min="13" max="13" width="12.76953125" style="54" customWidth="1"/>
    <col min="14" max="14" width="17" style="54" customWidth="1"/>
    <col min="15" max="15" width="12.76953125" style="54" customWidth="1"/>
    <col min="16" max="16" width="17" style="54" customWidth="1"/>
    <col min="17" max="17" width="12.76953125" style="54" customWidth="1"/>
    <col min="18" max="18" width="17" style="54" customWidth="1"/>
    <col min="19" max="19" width="12.76953125" style="54" customWidth="1"/>
    <col min="20" max="16384" width="9.76953125" style="54"/>
  </cols>
  <sheetData>
    <row r="1" spans="1:19" ht="47.25" customHeight="1">
      <c r="A1" s="52"/>
      <c r="B1" s="52"/>
      <c r="C1" s="53"/>
      <c r="D1" s="53"/>
      <c r="E1" s="371"/>
      <c r="F1" s="371"/>
      <c r="G1" s="371"/>
      <c r="H1" s="371"/>
      <c r="I1" s="371"/>
      <c r="J1" s="371"/>
      <c r="K1" s="371"/>
      <c r="L1" s="53"/>
      <c r="M1" s="53"/>
      <c r="N1" s="53"/>
      <c r="O1" s="53"/>
      <c r="P1" s="53"/>
      <c r="Q1" s="53"/>
      <c r="R1" s="53"/>
      <c r="S1" s="53"/>
    </row>
    <row r="4" spans="1:19" ht="34.9" customHeight="1">
      <c r="A4" s="55" t="str">
        <f>Estimate!C2</f>
        <v>Town House Renovation</v>
      </c>
      <c r="B4" s="56"/>
      <c r="C4" s="57"/>
      <c r="D4" s="278" t="s">
        <v>214</v>
      </c>
      <c r="E4" s="372" t="str">
        <f>+RFE!E44</f>
        <v>date?</v>
      </c>
      <c r="F4" s="388"/>
      <c r="G4" s="388"/>
      <c r="H4" s="389" t="s">
        <v>179</v>
      </c>
      <c r="I4" s="390"/>
      <c r="J4" s="390"/>
      <c r="K4" s="390"/>
      <c r="L4" s="59"/>
      <c r="M4" s="59"/>
      <c r="N4" s="59"/>
      <c r="O4" s="126"/>
      <c r="P4" s="59"/>
      <c r="Q4" s="126"/>
      <c r="R4" s="59"/>
      <c r="S4" s="126"/>
    </row>
    <row r="5" spans="1:19">
      <c r="A5" s="60" t="str">
        <f>Estimate!C3</f>
        <v>60 Bank Street</v>
      </c>
      <c r="B5" s="61"/>
      <c r="C5" s="62" t="s">
        <v>71</v>
      </c>
      <c r="D5" s="62"/>
      <c r="E5" s="373"/>
      <c r="F5" s="371"/>
      <c r="G5" s="371"/>
      <c r="H5" s="391"/>
      <c r="I5" s="391"/>
      <c r="J5" s="391"/>
      <c r="K5" s="391"/>
      <c r="L5" s="58"/>
      <c r="M5" s="58"/>
      <c r="N5" s="58"/>
      <c r="O5" s="58"/>
      <c r="P5" s="58"/>
      <c r="Q5" s="58"/>
      <c r="R5" s="58"/>
      <c r="S5" s="58"/>
    </row>
    <row r="6" spans="1:19">
      <c r="A6" s="60" t="str">
        <f>Estimate!C4</f>
        <v>New York, NY 10014</v>
      </c>
      <c r="B6" s="61"/>
      <c r="E6" s="374"/>
      <c r="H6" s="392" t="s">
        <v>55</v>
      </c>
      <c r="I6" s="390"/>
      <c r="J6" s="390"/>
      <c r="K6" s="390"/>
      <c r="L6" s="59"/>
      <c r="M6" s="59"/>
      <c r="N6" s="59"/>
      <c r="O6" s="126"/>
      <c r="P6" s="59"/>
      <c r="Q6" s="126"/>
      <c r="R6" s="59"/>
      <c r="S6" s="126"/>
    </row>
    <row r="7" spans="1:19" ht="15.6" thickBot="1">
      <c r="A7" s="60" t="e">
        <f>Estimate!#REF!</f>
        <v>#REF!</v>
      </c>
      <c r="B7" s="61"/>
      <c r="C7" s="63" t="s">
        <v>66</v>
      </c>
      <c r="D7" s="63"/>
      <c r="E7" s="415">
        <f ca="1">TODAY()</f>
        <v>45965</v>
      </c>
      <c r="F7" s="393"/>
      <c r="G7" s="393" t="str">
        <f>+RFE!E14</f>
        <v>24-038C</v>
      </c>
      <c r="H7" s="394"/>
      <c r="I7" s="395"/>
      <c r="J7" s="396"/>
      <c r="K7" s="395"/>
      <c r="L7" s="65"/>
      <c r="M7" s="64"/>
      <c r="N7" s="65"/>
      <c r="O7" s="127"/>
      <c r="P7" s="65"/>
      <c r="Q7" s="127"/>
      <c r="R7" s="65"/>
      <c r="S7" s="127"/>
    </row>
    <row r="8" spans="1:19" ht="18" customHeight="1" thickTop="1">
      <c r="A8" s="230"/>
      <c r="B8" s="231"/>
      <c r="C8" s="227" t="s">
        <v>180</v>
      </c>
      <c r="D8" s="237" t="s">
        <v>182</v>
      </c>
      <c r="E8" s="375" t="s">
        <v>8</v>
      </c>
      <c r="F8" s="397" t="s">
        <v>220</v>
      </c>
      <c r="G8" s="398" t="s">
        <v>77</v>
      </c>
      <c r="H8" s="399"/>
      <c r="I8" s="399"/>
      <c r="J8" s="399"/>
      <c r="K8" s="399"/>
      <c r="L8" s="66"/>
      <c r="M8" s="66"/>
      <c r="N8" s="66"/>
      <c r="O8" s="66"/>
      <c r="P8" s="66"/>
      <c r="Q8" s="66"/>
      <c r="R8" s="66"/>
      <c r="S8" s="66"/>
    </row>
    <row r="9" spans="1:19" ht="15.3">
      <c r="A9" s="232" t="s">
        <v>78</v>
      </c>
      <c r="B9" s="233" t="s">
        <v>140</v>
      </c>
      <c r="C9" s="228" t="s">
        <v>181</v>
      </c>
      <c r="D9" s="238" t="s">
        <v>181</v>
      </c>
      <c r="E9" s="376" t="s">
        <v>9</v>
      </c>
      <c r="F9" s="400" t="s">
        <v>221</v>
      </c>
      <c r="G9" s="401" t="s">
        <v>80</v>
      </c>
      <c r="H9" s="401" t="s">
        <v>141</v>
      </c>
      <c r="I9" s="402" t="s">
        <v>80</v>
      </c>
      <c r="J9" s="401" t="s">
        <v>142</v>
      </c>
      <c r="K9" s="402" t="s">
        <v>80</v>
      </c>
      <c r="L9" s="67" t="s">
        <v>143</v>
      </c>
      <c r="M9" s="67" t="s">
        <v>80</v>
      </c>
      <c r="N9" s="67" t="s">
        <v>144</v>
      </c>
      <c r="O9" s="67" t="s">
        <v>80</v>
      </c>
      <c r="P9" s="67" t="s">
        <v>155</v>
      </c>
      <c r="Q9" s="67" t="s">
        <v>80</v>
      </c>
      <c r="R9" s="67" t="s">
        <v>156</v>
      </c>
      <c r="S9" s="67" t="s">
        <v>80</v>
      </c>
    </row>
    <row r="10" spans="1:19" ht="15.3">
      <c r="A10" s="286" t="s">
        <v>218</v>
      </c>
      <c r="B10" s="287" t="s">
        <v>219</v>
      </c>
      <c r="C10" s="483">
        <f>Estimate!H15</f>
        <v>364800</v>
      </c>
      <c r="D10" s="238"/>
      <c r="E10" s="293">
        <f>+C10</f>
        <v>364800</v>
      </c>
      <c r="F10" s="382">
        <f>G10*0.93</f>
        <v>0</v>
      </c>
      <c r="G10" s="382">
        <f>MIN(H10:S10)</f>
        <v>0</v>
      </c>
      <c r="H10" s="401"/>
      <c r="I10" s="402"/>
      <c r="J10" s="401"/>
      <c r="K10" s="402"/>
      <c r="L10" s="67"/>
      <c r="M10" s="67"/>
      <c r="N10" s="67"/>
      <c r="O10" s="67"/>
      <c r="P10" s="67"/>
      <c r="Q10" s="67"/>
      <c r="R10" s="67"/>
      <c r="S10" s="67"/>
    </row>
    <row r="11" spans="1:19" ht="15.3">
      <c r="A11" s="286">
        <v>1100</v>
      </c>
      <c r="B11" s="287" t="s">
        <v>279</v>
      </c>
      <c r="C11" s="483">
        <f>+Estimate!H25</f>
        <v>122000</v>
      </c>
      <c r="D11" s="238"/>
      <c r="E11" s="293">
        <f t="shared" ref="E11:E59" si="0">+C11</f>
        <v>122000</v>
      </c>
      <c r="F11" s="382"/>
      <c r="G11" s="382"/>
      <c r="H11" s="401"/>
      <c r="I11" s="402"/>
      <c r="J11" s="401"/>
      <c r="K11" s="402"/>
      <c r="L11" s="67"/>
      <c r="M11" s="67"/>
      <c r="N11" s="67"/>
      <c r="O11" s="67"/>
      <c r="P11" s="67"/>
      <c r="Q11" s="67"/>
      <c r="R11" s="67"/>
      <c r="S11" s="67"/>
    </row>
    <row r="12" spans="1:19" s="369" customFormat="1" ht="18" customHeight="1">
      <c r="A12" s="364">
        <v>2000</v>
      </c>
      <c r="B12" s="365" t="s">
        <v>0</v>
      </c>
      <c r="C12" s="483">
        <f>+Estimate!H38-C14</f>
        <v>550000</v>
      </c>
      <c r="D12" s="366"/>
      <c r="E12" s="293">
        <f t="shared" si="0"/>
        <v>550000</v>
      </c>
      <c r="F12" s="382">
        <f t="shared" ref="F12:F59" si="1">G12*0.93</f>
        <v>269514</v>
      </c>
      <c r="G12" s="382">
        <f t="shared" ref="G12:G59" si="2">MIN(H12:S12)</f>
        <v>289800</v>
      </c>
      <c r="H12" s="403" t="s">
        <v>496</v>
      </c>
      <c r="I12" s="404">
        <v>289800</v>
      </c>
      <c r="J12" s="403" t="s">
        <v>515</v>
      </c>
      <c r="K12" s="404">
        <f>260774+61985+126358+137252</f>
        <v>586369</v>
      </c>
      <c r="L12" s="487" t="s">
        <v>618</v>
      </c>
      <c r="M12" s="404">
        <v>1100000</v>
      </c>
      <c r="N12" s="368"/>
      <c r="O12" s="367"/>
      <c r="P12" s="368"/>
      <c r="Q12" s="367"/>
      <c r="R12" s="368"/>
      <c r="S12" s="367"/>
    </row>
    <row r="13" spans="1:19" ht="18" customHeight="1">
      <c r="A13" s="234">
        <v>2010</v>
      </c>
      <c r="B13" s="235" t="s">
        <v>236</v>
      </c>
      <c r="C13" s="483">
        <f>+Estimate!H49</f>
        <v>420000</v>
      </c>
      <c r="D13" s="229"/>
      <c r="E13" s="293">
        <f t="shared" si="0"/>
        <v>420000</v>
      </c>
      <c r="F13" s="382"/>
      <c r="G13" s="382"/>
      <c r="H13" s="403" t="s">
        <v>496</v>
      </c>
      <c r="I13" s="404">
        <v>891300</v>
      </c>
      <c r="J13" s="405"/>
      <c r="K13" s="404">
        <v>460393</v>
      </c>
      <c r="L13" s="71"/>
      <c r="M13" s="72"/>
      <c r="N13" s="71"/>
      <c r="O13" s="72"/>
      <c r="P13" s="71"/>
      <c r="Q13" s="72"/>
      <c r="R13" s="71"/>
      <c r="S13" s="72"/>
    </row>
    <row r="14" spans="1:19" ht="18" customHeight="1">
      <c r="A14" s="234"/>
      <c r="B14" s="235" t="s">
        <v>497</v>
      </c>
      <c r="C14" s="483">
        <f>+Estimate!G36</f>
        <v>95000</v>
      </c>
      <c r="D14" s="229"/>
      <c r="E14" s="293">
        <f>+C14</f>
        <v>95000</v>
      </c>
      <c r="F14" s="382"/>
      <c r="G14" s="403"/>
      <c r="H14" s="403" t="s">
        <v>496</v>
      </c>
      <c r="I14" s="404">
        <v>95800</v>
      </c>
      <c r="J14" s="405"/>
      <c r="K14" s="404">
        <v>99130</v>
      </c>
      <c r="L14" s="71"/>
      <c r="M14" s="72"/>
      <c r="N14" s="71"/>
      <c r="O14" s="72"/>
      <c r="P14" s="71"/>
      <c r="Q14" s="72"/>
      <c r="R14" s="71"/>
      <c r="S14" s="72"/>
    </row>
    <row r="15" spans="1:19" ht="18" customHeight="1">
      <c r="A15" s="234">
        <v>2050</v>
      </c>
      <c r="B15" s="235" t="s">
        <v>44</v>
      </c>
      <c r="C15" s="483">
        <f>+Estimate!H62</f>
        <v>178300</v>
      </c>
      <c r="D15" s="229"/>
      <c r="E15" s="293">
        <f>+C15</f>
        <v>178300</v>
      </c>
      <c r="F15" s="382">
        <f>G15*0.93</f>
        <v>254820</v>
      </c>
      <c r="G15" s="382">
        <f>MIN(H15:S15)</f>
        <v>274000</v>
      </c>
      <c r="H15" s="403" t="s">
        <v>535</v>
      </c>
      <c r="I15" s="404">
        <v>274000</v>
      </c>
      <c r="J15" s="403">
        <f>SUM(I12:I14)</f>
        <v>1276900</v>
      </c>
      <c r="K15" s="404"/>
      <c r="L15" s="403">
        <f>SUM(K12:K14)</f>
        <v>1145892</v>
      </c>
      <c r="M15" s="72"/>
      <c r="N15" s="71"/>
      <c r="O15" s="72"/>
      <c r="P15" s="71"/>
      <c r="Q15" s="72"/>
      <c r="R15" s="71"/>
      <c r="S15" s="72"/>
    </row>
    <row r="16" spans="1:19" ht="18" customHeight="1">
      <c r="A16" s="234">
        <v>2090</v>
      </c>
      <c r="B16" s="235" t="s">
        <v>1</v>
      </c>
      <c r="C16" s="483" t="str">
        <f>+Estimate!H65</f>
        <v>Not Included</v>
      </c>
      <c r="D16" s="229"/>
      <c r="E16" s="293" t="str">
        <f t="shared" si="0"/>
        <v>Not Included</v>
      </c>
      <c r="F16" s="382">
        <f t="shared" si="1"/>
        <v>0</v>
      </c>
      <c r="G16" s="382">
        <f t="shared" si="2"/>
        <v>0</v>
      </c>
      <c r="H16" s="405"/>
      <c r="I16" s="404"/>
      <c r="J16" s="405"/>
      <c r="K16" s="404"/>
      <c r="L16" s="71"/>
      <c r="M16" s="72"/>
      <c r="N16" s="71"/>
      <c r="O16" s="72"/>
      <c r="P16" s="71"/>
      <c r="Q16" s="72"/>
      <c r="R16" s="71"/>
      <c r="S16" s="72"/>
    </row>
    <row r="17" spans="1:19" ht="18" customHeight="1">
      <c r="A17" s="234">
        <v>2100</v>
      </c>
      <c r="B17" s="235" t="s">
        <v>269</v>
      </c>
      <c r="C17" s="483">
        <f>+Estimate!H76</f>
        <v>76775</v>
      </c>
      <c r="D17" s="229"/>
      <c r="E17" s="293">
        <f>+C17</f>
        <v>76775</v>
      </c>
      <c r="F17" s="382"/>
      <c r="G17" s="382"/>
      <c r="H17" s="405"/>
      <c r="I17" s="404"/>
      <c r="J17" s="405"/>
      <c r="K17" s="404"/>
      <c r="L17" s="71"/>
      <c r="M17" s="72"/>
      <c r="N17" s="71"/>
      <c r="O17" s="72"/>
      <c r="P17" s="71"/>
      <c r="Q17" s="72"/>
      <c r="R17" s="71"/>
      <c r="S17" s="72"/>
    </row>
    <row r="18" spans="1:19" ht="18" customHeight="1">
      <c r="A18" s="236">
        <v>3000</v>
      </c>
      <c r="B18" s="235" t="s">
        <v>122</v>
      </c>
      <c r="C18" s="483">
        <f>+Estimate!H81</f>
        <v>26000</v>
      </c>
      <c r="D18" s="229"/>
      <c r="E18" s="293">
        <f t="shared" si="0"/>
        <v>26000</v>
      </c>
      <c r="F18" s="382">
        <f t="shared" si="1"/>
        <v>0</v>
      </c>
      <c r="G18" s="382">
        <f t="shared" si="2"/>
        <v>0</v>
      </c>
      <c r="H18" s="405"/>
      <c r="I18" s="404"/>
      <c r="J18" s="403" t="s">
        <v>515</v>
      </c>
      <c r="K18" s="407" t="s">
        <v>516</v>
      </c>
      <c r="L18" s="71"/>
      <c r="M18" s="72"/>
      <c r="N18" s="71"/>
      <c r="O18" s="72"/>
      <c r="P18" s="71"/>
      <c r="Q18" s="72"/>
      <c r="R18" s="71"/>
      <c r="S18" s="72"/>
    </row>
    <row r="19" spans="1:19" ht="18" customHeight="1">
      <c r="A19" s="234">
        <v>4000</v>
      </c>
      <c r="B19" s="235" t="s">
        <v>87</v>
      </c>
      <c r="C19" s="483">
        <f>+Estimate!H95</f>
        <v>141350</v>
      </c>
      <c r="D19" s="229"/>
      <c r="E19" s="293">
        <f t="shared" si="0"/>
        <v>141350</v>
      </c>
      <c r="F19" s="382">
        <f t="shared" si="1"/>
        <v>0</v>
      </c>
      <c r="G19" s="382">
        <f t="shared" si="2"/>
        <v>0</v>
      </c>
      <c r="H19" s="405"/>
      <c r="I19" s="404"/>
      <c r="J19" s="405"/>
      <c r="K19" s="406"/>
      <c r="L19" s="71"/>
      <c r="M19" s="72"/>
      <c r="N19" s="71"/>
      <c r="O19" s="72"/>
      <c r="P19" s="71"/>
      <c r="Q19" s="72"/>
      <c r="R19" s="71"/>
      <c r="S19" s="72"/>
    </row>
    <row r="20" spans="1:19" ht="18" customHeight="1">
      <c r="A20" s="234">
        <v>4500</v>
      </c>
      <c r="B20" s="235" t="s">
        <v>2</v>
      </c>
      <c r="C20" s="483">
        <f>+Estimate!H105</f>
        <v>66875</v>
      </c>
      <c r="D20" s="229"/>
      <c r="E20" s="293">
        <f t="shared" si="0"/>
        <v>66875</v>
      </c>
      <c r="F20" s="382">
        <f t="shared" si="1"/>
        <v>0</v>
      </c>
      <c r="G20" s="382">
        <f t="shared" si="2"/>
        <v>0</v>
      </c>
      <c r="H20" s="405"/>
      <c r="I20" s="404"/>
      <c r="J20" s="405"/>
      <c r="K20" s="406"/>
      <c r="L20" s="71"/>
      <c r="M20" s="72"/>
      <c r="N20" s="71"/>
      <c r="O20" s="72"/>
      <c r="P20" s="71"/>
      <c r="Q20" s="72"/>
      <c r="R20" s="71"/>
      <c r="S20" s="72"/>
    </row>
    <row r="21" spans="1:19" ht="18" customHeight="1">
      <c r="A21" s="236">
        <v>5120</v>
      </c>
      <c r="B21" s="235" t="s">
        <v>154</v>
      </c>
      <c r="C21" s="483">
        <f>+Estimate!H113</f>
        <v>238500</v>
      </c>
      <c r="D21" s="229"/>
      <c r="E21" s="293">
        <f t="shared" si="0"/>
        <v>238500</v>
      </c>
      <c r="F21" s="382">
        <f t="shared" si="1"/>
        <v>207991.71000000002</v>
      </c>
      <c r="G21" s="382">
        <f t="shared" si="2"/>
        <v>223647</v>
      </c>
      <c r="H21" s="403" t="s">
        <v>387</v>
      </c>
      <c r="I21" s="404">
        <v>284800</v>
      </c>
      <c r="J21" s="403" t="s">
        <v>411</v>
      </c>
      <c r="K21" s="404">
        <v>317975</v>
      </c>
      <c r="L21" s="239" t="s">
        <v>412</v>
      </c>
      <c r="M21" s="72">
        <v>285000</v>
      </c>
      <c r="N21" s="239" t="s">
        <v>486</v>
      </c>
      <c r="O21" s="72">
        <v>223647</v>
      </c>
      <c r="P21" s="403" t="s">
        <v>515</v>
      </c>
      <c r="Q21" s="72">
        <v>310707</v>
      </c>
      <c r="R21" s="239" t="s">
        <v>520</v>
      </c>
      <c r="S21" s="72">
        <v>326780</v>
      </c>
    </row>
    <row r="22" spans="1:19" ht="18" customHeight="1">
      <c r="A22" s="234">
        <v>5400</v>
      </c>
      <c r="B22" s="235" t="s">
        <v>385</v>
      </c>
      <c r="C22" s="483">
        <f>+Estimate!H123</f>
        <v>70750</v>
      </c>
      <c r="D22" s="229"/>
      <c r="E22" s="293">
        <f t="shared" si="0"/>
        <v>70750</v>
      </c>
      <c r="F22" s="382"/>
      <c r="G22" s="382"/>
      <c r="H22" s="403" t="s">
        <v>387</v>
      </c>
      <c r="I22" s="404">
        <v>219375</v>
      </c>
      <c r="J22" s="405"/>
      <c r="K22" s="404"/>
      <c r="L22" s="239" t="s">
        <v>412</v>
      </c>
      <c r="M22" s="359" t="s">
        <v>327</v>
      </c>
      <c r="N22" s="71"/>
      <c r="O22" s="72"/>
      <c r="P22" s="71"/>
      <c r="Q22" s="72"/>
      <c r="R22" s="71"/>
      <c r="S22" s="72"/>
    </row>
    <row r="23" spans="1:19" ht="18" customHeight="1">
      <c r="A23" s="234">
        <v>5500</v>
      </c>
      <c r="B23" s="235" t="s">
        <v>3</v>
      </c>
      <c r="C23" s="483">
        <f>+Estimate!H128</f>
        <v>24800</v>
      </c>
      <c r="D23" s="229"/>
      <c r="E23" s="293">
        <f t="shared" si="0"/>
        <v>24800</v>
      </c>
      <c r="F23" s="382">
        <f t="shared" si="1"/>
        <v>0</v>
      </c>
      <c r="G23" s="382">
        <f t="shared" si="2"/>
        <v>0</v>
      </c>
      <c r="H23" s="403" t="s">
        <v>387</v>
      </c>
      <c r="I23" s="407" t="s">
        <v>327</v>
      </c>
      <c r="J23" s="405"/>
      <c r="K23" s="404"/>
      <c r="L23" s="71"/>
      <c r="M23" s="72"/>
      <c r="N23" s="71"/>
      <c r="O23" s="72"/>
      <c r="P23" s="71"/>
      <c r="Q23" s="72"/>
      <c r="R23" s="71"/>
      <c r="S23" s="72"/>
    </row>
    <row r="24" spans="1:19" ht="18" customHeight="1">
      <c r="A24" s="234">
        <v>6400</v>
      </c>
      <c r="B24" s="235" t="s">
        <v>72</v>
      </c>
      <c r="C24" s="483">
        <f>+Estimate!H146</f>
        <v>54350</v>
      </c>
      <c r="D24" s="229"/>
      <c r="E24" s="293">
        <f t="shared" si="0"/>
        <v>54350</v>
      </c>
      <c r="F24" s="382">
        <f t="shared" si="1"/>
        <v>0</v>
      </c>
      <c r="G24" s="382">
        <f t="shared" si="2"/>
        <v>0</v>
      </c>
      <c r="H24" s="405"/>
      <c r="I24" s="404"/>
      <c r="J24" s="405"/>
      <c r="K24" s="404"/>
      <c r="L24" s="71"/>
      <c r="M24" s="72"/>
      <c r="N24" s="71"/>
      <c r="O24" s="72"/>
      <c r="P24" s="71"/>
      <c r="Q24" s="72"/>
      <c r="R24" s="71"/>
      <c r="S24" s="72"/>
    </row>
    <row r="25" spans="1:19" ht="18" customHeight="1">
      <c r="A25" s="234">
        <f>+Estimate!A147</f>
        <v>6500</v>
      </c>
      <c r="B25" s="294" t="s">
        <v>405</v>
      </c>
      <c r="C25" s="483">
        <f>+Estimate!H158-C26</f>
        <v>238060</v>
      </c>
      <c r="D25" s="229"/>
      <c r="E25" s="293">
        <f>+Estimate!H158-E26</f>
        <v>238060</v>
      </c>
      <c r="F25" s="382"/>
      <c r="G25" s="382"/>
      <c r="H25" s="403" t="s">
        <v>625</v>
      </c>
      <c r="I25" s="404">
        <v>267000</v>
      </c>
      <c r="J25" s="405"/>
      <c r="K25" s="404"/>
      <c r="L25" s="71"/>
      <c r="M25" s="72"/>
      <c r="N25" s="71"/>
      <c r="O25" s="72"/>
      <c r="P25" s="71"/>
      <c r="Q25" s="72"/>
      <c r="R25" s="71"/>
      <c r="S25" s="72"/>
    </row>
    <row r="26" spans="1:19" ht="18" customHeight="1">
      <c r="A26" s="234"/>
      <c r="B26" s="235" t="s">
        <v>402</v>
      </c>
      <c r="C26" s="483">
        <f>SUM(Estimate!G154:G157)</f>
        <v>25000</v>
      </c>
      <c r="D26" s="229"/>
      <c r="E26" s="293">
        <f>SUM(Estimate!G154:G157)</f>
        <v>25000</v>
      </c>
      <c r="F26" s="382"/>
      <c r="G26" s="382"/>
      <c r="H26" s="405"/>
      <c r="I26" s="404"/>
      <c r="J26" s="405"/>
      <c r="K26" s="404"/>
      <c r="L26" s="71"/>
      <c r="M26" s="72"/>
      <c r="N26" s="71"/>
      <c r="O26" s="72"/>
      <c r="P26" s="71"/>
      <c r="Q26" s="72"/>
      <c r="R26" s="71"/>
      <c r="S26" s="72"/>
    </row>
    <row r="27" spans="1:19" ht="18" customHeight="1">
      <c r="A27" s="236">
        <v>7500</v>
      </c>
      <c r="B27" s="235" t="s">
        <v>56</v>
      </c>
      <c r="C27" s="483">
        <f>+Estimate!H165</f>
        <v>45975</v>
      </c>
      <c r="D27" s="229"/>
      <c r="E27" s="293">
        <f t="shared" si="0"/>
        <v>45975</v>
      </c>
      <c r="F27" s="382">
        <f t="shared" si="1"/>
        <v>0</v>
      </c>
      <c r="G27" s="382">
        <f t="shared" si="2"/>
        <v>0</v>
      </c>
      <c r="H27" s="405"/>
      <c r="I27" s="404"/>
      <c r="J27" s="405"/>
      <c r="K27" s="404"/>
      <c r="L27" s="71"/>
      <c r="M27" s="72"/>
      <c r="N27" s="71"/>
      <c r="O27" s="72"/>
      <c r="P27" s="71"/>
      <c r="Q27" s="72"/>
      <c r="R27" s="71"/>
      <c r="S27" s="72"/>
    </row>
    <row r="28" spans="1:19" ht="18" customHeight="1">
      <c r="A28" s="234">
        <v>8110</v>
      </c>
      <c r="B28" s="235" t="s">
        <v>499</v>
      </c>
      <c r="C28" s="483" t="str">
        <f>+Estimate!H180</f>
        <v>See Alternate</v>
      </c>
      <c r="D28" s="229"/>
      <c r="E28" s="293" t="str">
        <f t="shared" si="0"/>
        <v>See Alternate</v>
      </c>
      <c r="F28" s="382">
        <f t="shared" si="1"/>
        <v>122351.73000000001</v>
      </c>
      <c r="G28" s="382">
        <f t="shared" si="2"/>
        <v>131561</v>
      </c>
      <c r="H28" s="403" t="s">
        <v>488</v>
      </c>
      <c r="I28" s="404">
        <v>131561</v>
      </c>
      <c r="J28" s="405"/>
      <c r="K28" s="404"/>
      <c r="L28" s="71"/>
      <c r="M28" s="72"/>
      <c r="N28" s="71"/>
      <c r="O28" s="72"/>
      <c r="P28" s="71"/>
      <c r="Q28" s="72"/>
      <c r="R28" s="71"/>
      <c r="S28" s="72"/>
    </row>
    <row r="29" spans="1:19" ht="18" customHeight="1">
      <c r="A29" s="234"/>
      <c r="B29" s="235" t="s">
        <v>521</v>
      </c>
      <c r="C29" s="484" t="s">
        <v>289</v>
      </c>
      <c r="D29" s="229"/>
      <c r="E29" s="293" t="str">
        <f>+C29</f>
        <v>By Others</v>
      </c>
      <c r="F29" s="382"/>
      <c r="G29" s="382"/>
      <c r="H29" s="403"/>
      <c r="I29" s="404"/>
      <c r="J29" s="405"/>
      <c r="K29" s="404"/>
      <c r="L29" s="71"/>
      <c r="M29" s="72"/>
      <c r="N29" s="71"/>
      <c r="O29" s="72"/>
      <c r="P29" s="71"/>
      <c r="Q29" s="72"/>
      <c r="R29" s="71"/>
      <c r="S29" s="72"/>
    </row>
    <row r="30" spans="1:19" ht="18" customHeight="1">
      <c r="A30" s="236">
        <v>8520</v>
      </c>
      <c r="B30" s="294" t="str">
        <f>+Estimate!B182</f>
        <v>Wood Windows</v>
      </c>
      <c r="C30" s="483">
        <f>+Estimate!H184</f>
        <v>45000</v>
      </c>
      <c r="D30" s="229"/>
      <c r="E30" s="293">
        <f t="shared" si="0"/>
        <v>45000</v>
      </c>
      <c r="F30" s="382">
        <f t="shared" si="1"/>
        <v>0</v>
      </c>
      <c r="G30" s="382">
        <f t="shared" si="2"/>
        <v>0</v>
      </c>
      <c r="H30" s="405"/>
      <c r="I30" s="404"/>
      <c r="J30" s="405"/>
      <c r="K30" s="404"/>
      <c r="L30" s="71"/>
      <c r="M30" s="72"/>
      <c r="N30" s="71"/>
      <c r="O30" s="72"/>
      <c r="P30" s="71"/>
      <c r="Q30" s="72"/>
      <c r="R30" s="71"/>
      <c r="S30" s="72"/>
    </row>
    <row r="31" spans="1:19" ht="18" customHeight="1">
      <c r="A31" s="234">
        <v>8800</v>
      </c>
      <c r="B31" s="235" t="s">
        <v>73</v>
      </c>
      <c r="C31" s="483">
        <f>+Estimate!H189</f>
        <v>12200</v>
      </c>
      <c r="D31" s="229"/>
      <c r="E31" s="293">
        <f t="shared" si="0"/>
        <v>12200</v>
      </c>
      <c r="F31" s="382">
        <f t="shared" si="1"/>
        <v>0</v>
      </c>
      <c r="G31" s="382">
        <f t="shared" si="2"/>
        <v>0</v>
      </c>
      <c r="H31" s="405"/>
      <c r="I31" s="404"/>
      <c r="J31" s="405"/>
      <c r="K31" s="404"/>
      <c r="L31" s="71"/>
      <c r="M31" s="72"/>
      <c r="N31" s="71"/>
      <c r="O31" s="72"/>
      <c r="P31" s="71"/>
      <c r="Q31" s="72"/>
      <c r="R31" s="71"/>
      <c r="S31" s="72"/>
    </row>
    <row r="32" spans="1:19" ht="18" customHeight="1">
      <c r="A32" s="236">
        <v>8810</v>
      </c>
      <c r="B32" s="235" t="s">
        <v>4</v>
      </c>
      <c r="C32" s="483" t="str">
        <f>+Estimate!H192</f>
        <v>Alternate</v>
      </c>
      <c r="D32" s="229"/>
      <c r="E32" s="293" t="str">
        <f t="shared" si="0"/>
        <v>Alternate</v>
      </c>
      <c r="F32" s="382">
        <f t="shared" si="1"/>
        <v>0</v>
      </c>
      <c r="G32" s="382">
        <f t="shared" si="2"/>
        <v>0</v>
      </c>
      <c r="H32" s="405"/>
      <c r="I32" s="404"/>
      <c r="J32" s="405"/>
      <c r="K32" s="404"/>
      <c r="L32" s="71"/>
      <c r="M32" s="72"/>
      <c r="N32" s="71"/>
      <c r="O32" s="72"/>
      <c r="P32" s="71"/>
      <c r="Q32" s="72"/>
      <c r="R32" s="71"/>
      <c r="S32" s="72"/>
    </row>
    <row r="33" spans="1:19" ht="18" customHeight="1">
      <c r="A33" s="234">
        <v>8900</v>
      </c>
      <c r="B33" s="294" t="str">
        <f>+Estimate!B194</f>
        <v>Window Walls</v>
      </c>
      <c r="C33" s="483" t="str">
        <f>+Estimate!H199</f>
        <v>Alternate</v>
      </c>
      <c r="D33" s="229"/>
      <c r="E33" s="293" t="str">
        <f t="shared" si="0"/>
        <v>Alternate</v>
      </c>
      <c r="F33" s="382">
        <f t="shared" si="1"/>
        <v>275410.2</v>
      </c>
      <c r="G33" s="382">
        <f t="shared" si="2"/>
        <v>296140</v>
      </c>
      <c r="H33" s="403" t="s">
        <v>482</v>
      </c>
      <c r="I33" s="404">
        <f>(197580+18300+4700+10100+7170+31180+1700+1270)*1.08875</f>
        <v>296140</v>
      </c>
      <c r="J33" s="405"/>
      <c r="K33" s="404"/>
      <c r="L33" s="71"/>
      <c r="M33" s="72"/>
      <c r="N33" s="71"/>
      <c r="O33" s="72"/>
      <c r="P33" s="71"/>
      <c r="Q33" s="72"/>
      <c r="R33" s="71"/>
      <c r="S33" s="72"/>
    </row>
    <row r="34" spans="1:19" ht="18" customHeight="1">
      <c r="A34" s="234"/>
      <c r="B34" s="294" t="s">
        <v>485</v>
      </c>
      <c r="C34" s="483"/>
      <c r="D34" s="229"/>
      <c r="E34" s="293" t="s">
        <v>327</v>
      </c>
      <c r="F34" s="382"/>
      <c r="G34" s="382"/>
      <c r="H34" s="403"/>
      <c r="I34" s="404">
        <f>46650+10030+13380</f>
        <v>70060</v>
      </c>
      <c r="J34" s="405">
        <f>SUM(I33:I34)</f>
        <v>366200</v>
      </c>
      <c r="K34" s="404"/>
      <c r="L34" s="71"/>
      <c r="M34" s="72"/>
      <c r="N34" s="71"/>
      <c r="O34" s="72"/>
      <c r="P34" s="71"/>
      <c r="Q34" s="72"/>
      <c r="R34" s="71"/>
      <c r="S34" s="72"/>
    </row>
    <row r="35" spans="1:19" ht="18" customHeight="1">
      <c r="A35" s="234">
        <v>9250</v>
      </c>
      <c r="B35" s="235" t="s">
        <v>47</v>
      </c>
      <c r="C35" s="483">
        <f>+Estimate!H212</f>
        <v>214976</v>
      </c>
      <c r="D35" s="229"/>
      <c r="E35" s="293">
        <f t="shared" si="0"/>
        <v>214976</v>
      </c>
      <c r="F35" s="382">
        <f t="shared" si="1"/>
        <v>189720</v>
      </c>
      <c r="G35" s="382">
        <f t="shared" si="2"/>
        <v>204000</v>
      </c>
      <c r="H35" s="403" t="s">
        <v>625</v>
      </c>
      <c r="I35" s="404">
        <v>204000</v>
      </c>
      <c r="J35" s="405"/>
      <c r="K35" s="404"/>
      <c r="L35" s="71"/>
      <c r="M35" s="72"/>
      <c r="N35" s="71"/>
      <c r="O35" s="72"/>
      <c r="P35" s="71"/>
      <c r="Q35" s="72"/>
      <c r="R35" s="71"/>
      <c r="S35" s="72"/>
    </row>
    <row r="36" spans="1:19" ht="18" customHeight="1">
      <c r="A36" s="234">
        <v>9300</v>
      </c>
      <c r="B36" s="235" t="s">
        <v>150</v>
      </c>
      <c r="C36" s="483">
        <f>+Estimate!H228</f>
        <v>67075</v>
      </c>
      <c r="D36" s="229"/>
      <c r="E36" s="293">
        <f t="shared" si="0"/>
        <v>67075</v>
      </c>
      <c r="F36" s="382">
        <f t="shared" si="1"/>
        <v>0</v>
      </c>
      <c r="G36" s="382">
        <f t="shared" si="2"/>
        <v>0</v>
      </c>
      <c r="H36" s="405"/>
      <c r="I36" s="404"/>
      <c r="J36" s="405"/>
      <c r="K36" s="404"/>
      <c r="L36" s="71"/>
      <c r="M36" s="72"/>
      <c r="N36" s="71"/>
      <c r="O36" s="72"/>
      <c r="P36" s="71"/>
      <c r="Q36" s="72"/>
      <c r="R36" s="71"/>
      <c r="S36" s="72"/>
    </row>
    <row r="37" spans="1:19" ht="18" customHeight="1">
      <c r="A37" s="236">
        <v>9550</v>
      </c>
      <c r="B37" s="235" t="s">
        <v>158</v>
      </c>
      <c r="C37" s="483">
        <f>+Estimate!H233</f>
        <v>116853</v>
      </c>
      <c r="D37" s="229"/>
      <c r="E37" s="293">
        <f t="shared" si="0"/>
        <v>116853</v>
      </c>
      <c r="F37" s="382">
        <f t="shared" si="1"/>
        <v>109838.58</v>
      </c>
      <c r="G37" s="382">
        <f t="shared" si="2"/>
        <v>118106</v>
      </c>
      <c r="H37" s="403" t="s">
        <v>531</v>
      </c>
      <c r="I37" s="404">
        <f>108968+9138</f>
        <v>118106</v>
      </c>
      <c r="J37" s="405"/>
      <c r="K37" s="404"/>
      <c r="L37" s="71"/>
      <c r="M37" s="72"/>
      <c r="N37" s="71"/>
      <c r="O37" s="72"/>
      <c r="P37" s="71"/>
      <c r="Q37" s="72"/>
      <c r="R37" s="71"/>
      <c r="S37" s="72"/>
    </row>
    <row r="38" spans="1:19" ht="18" customHeight="1">
      <c r="A38" s="234"/>
      <c r="B38" s="235" t="s">
        <v>493</v>
      </c>
      <c r="C38" s="483">
        <f>+Estimate!H240</f>
        <v>55610</v>
      </c>
      <c r="D38" s="229"/>
      <c r="E38" s="293">
        <f>+C38</f>
        <v>55610</v>
      </c>
      <c r="F38" s="382"/>
      <c r="G38" s="382"/>
      <c r="H38" s="403" t="s">
        <v>495</v>
      </c>
      <c r="I38" s="404">
        <v>55983</v>
      </c>
      <c r="J38" s="405"/>
      <c r="K38" s="404"/>
      <c r="L38" s="71"/>
      <c r="M38" s="72"/>
      <c r="N38" s="71"/>
      <c r="O38" s="72"/>
      <c r="P38" s="71"/>
      <c r="Q38" s="72"/>
      <c r="R38" s="71"/>
      <c r="S38" s="72"/>
    </row>
    <row r="39" spans="1:19" ht="18" customHeight="1">
      <c r="A39" s="234"/>
      <c r="B39" s="235" t="s">
        <v>494</v>
      </c>
      <c r="C39" s="483">
        <f>+Estimate!H246</f>
        <v>120650</v>
      </c>
      <c r="D39" s="229"/>
      <c r="E39" s="293">
        <f>+C39</f>
        <v>120650</v>
      </c>
      <c r="F39" s="382"/>
      <c r="G39" s="382"/>
      <c r="H39" s="405"/>
      <c r="I39" s="404"/>
      <c r="J39" s="405"/>
      <c r="K39" s="404"/>
      <c r="L39" s="71"/>
      <c r="M39" s="72"/>
      <c r="N39" s="71"/>
      <c r="O39" s="72"/>
      <c r="P39" s="71"/>
      <c r="Q39" s="72"/>
      <c r="R39" s="71"/>
      <c r="S39" s="72"/>
    </row>
    <row r="40" spans="1:19" ht="18" customHeight="1">
      <c r="A40" s="234">
        <v>9900</v>
      </c>
      <c r="B40" s="235" t="s">
        <v>287</v>
      </c>
      <c r="C40" s="483">
        <f>+Estimate!H253</f>
        <v>45000</v>
      </c>
      <c r="D40" s="229"/>
      <c r="E40" s="293">
        <f t="shared" si="0"/>
        <v>45000</v>
      </c>
      <c r="F40" s="382">
        <f t="shared" si="1"/>
        <v>0</v>
      </c>
      <c r="G40" s="382">
        <f t="shared" si="2"/>
        <v>0</v>
      </c>
      <c r="H40" s="405"/>
      <c r="I40" s="404"/>
      <c r="J40" s="405"/>
      <c r="K40" s="404"/>
      <c r="L40" s="71"/>
      <c r="M40" s="72"/>
      <c r="N40" s="71"/>
      <c r="O40" s="72"/>
      <c r="P40" s="71"/>
      <c r="Q40" s="72"/>
      <c r="R40" s="71"/>
      <c r="S40" s="72"/>
    </row>
    <row r="41" spans="1:19" ht="18" customHeight="1">
      <c r="A41" s="236">
        <v>10800</v>
      </c>
      <c r="B41" s="235" t="s">
        <v>59</v>
      </c>
      <c r="C41" s="483" t="str">
        <f>+Estimate!H256</f>
        <v>Furnished by others</v>
      </c>
      <c r="D41" s="229"/>
      <c r="E41" s="293" t="str">
        <f t="shared" si="0"/>
        <v>Furnished by others</v>
      </c>
      <c r="F41" s="382">
        <f t="shared" si="1"/>
        <v>0</v>
      </c>
      <c r="G41" s="382">
        <f t="shared" si="2"/>
        <v>0</v>
      </c>
      <c r="H41" s="405"/>
      <c r="I41" s="404"/>
      <c r="J41" s="405"/>
      <c r="K41" s="404"/>
      <c r="L41" s="71"/>
      <c r="M41" s="72"/>
      <c r="N41" s="71"/>
      <c r="O41" s="72"/>
      <c r="P41" s="71"/>
      <c r="Q41" s="72"/>
      <c r="R41" s="71"/>
      <c r="S41" s="72"/>
    </row>
    <row r="42" spans="1:19" ht="18" customHeight="1">
      <c r="A42" s="234">
        <v>11450</v>
      </c>
      <c r="B42" s="235" t="s">
        <v>6</v>
      </c>
      <c r="C42" s="483" t="e">
        <f>+Estimate!#REF!</f>
        <v>#REF!</v>
      </c>
      <c r="D42" s="229"/>
      <c r="E42" s="293" t="e">
        <f>+C42</f>
        <v>#REF!</v>
      </c>
      <c r="F42" s="382">
        <f t="shared" si="1"/>
        <v>0</v>
      </c>
      <c r="G42" s="382">
        <f t="shared" si="2"/>
        <v>0</v>
      </c>
      <c r="H42" s="405"/>
      <c r="I42" s="404"/>
      <c r="J42" s="405"/>
      <c r="K42" s="404"/>
      <c r="L42" s="71"/>
      <c r="M42" s="72"/>
      <c r="N42" s="71"/>
      <c r="O42" s="72"/>
      <c r="P42" s="71"/>
      <c r="Q42" s="72"/>
      <c r="R42" s="71"/>
      <c r="S42" s="72"/>
    </row>
    <row r="43" spans="1:19" ht="18" customHeight="1">
      <c r="A43" s="234">
        <f>+Estimate!A258</f>
        <v>11750</v>
      </c>
      <c r="B43" s="294" t="str">
        <f>+Estimate!B258</f>
        <v>Fireplace</v>
      </c>
      <c r="C43" s="483" t="str">
        <f>+Estimate!H259</f>
        <v>Alternate</v>
      </c>
      <c r="D43" s="229"/>
      <c r="E43" s="293" t="str">
        <f>+C43</f>
        <v>Alternate</v>
      </c>
      <c r="F43" s="382"/>
      <c r="G43" s="382"/>
      <c r="H43" s="405"/>
      <c r="I43" s="404"/>
      <c r="J43" s="405"/>
      <c r="K43" s="404"/>
      <c r="L43" s="71"/>
      <c r="M43" s="72"/>
      <c r="N43" s="71"/>
      <c r="O43" s="72"/>
      <c r="P43" s="71"/>
      <c r="Q43" s="72"/>
      <c r="R43" s="71"/>
      <c r="S43" s="72"/>
    </row>
    <row r="44" spans="1:19" ht="18" customHeight="1">
      <c r="A44" s="234">
        <v>12500</v>
      </c>
      <c r="B44" s="235" t="s">
        <v>124</v>
      </c>
      <c r="C44" s="484" t="s">
        <v>289</v>
      </c>
      <c r="D44" s="370" t="s">
        <v>498</v>
      </c>
      <c r="E44" s="293" t="str">
        <f t="shared" si="0"/>
        <v>By Others</v>
      </c>
      <c r="F44" s="382">
        <f t="shared" si="1"/>
        <v>0</v>
      </c>
      <c r="G44" s="382">
        <f t="shared" si="2"/>
        <v>0</v>
      </c>
      <c r="H44" s="405"/>
      <c r="I44" s="404"/>
      <c r="J44" s="405"/>
      <c r="K44" s="404"/>
      <c r="L44" s="71"/>
      <c r="M44" s="72"/>
      <c r="N44" s="71"/>
      <c r="O44" s="72"/>
      <c r="P44" s="71"/>
      <c r="Q44" s="72"/>
      <c r="R44" s="71"/>
      <c r="S44" s="72"/>
    </row>
    <row r="45" spans="1:19" ht="18" customHeight="1">
      <c r="A45" s="234">
        <f>+Estimate!A264</f>
        <v>13750</v>
      </c>
      <c r="B45" s="333" t="str">
        <f>+Estimate!B264</f>
        <v>Sauna and Steam Room</v>
      </c>
      <c r="C45" s="483" t="str">
        <f>+Estimate!H265</f>
        <v>By Owner</v>
      </c>
      <c r="D45" s="229"/>
      <c r="E45" s="293" t="s">
        <v>289</v>
      </c>
      <c r="F45" s="382"/>
      <c r="G45" s="382"/>
      <c r="H45" s="405"/>
      <c r="I45" s="404"/>
      <c r="J45" s="405"/>
      <c r="K45" s="404"/>
      <c r="L45" s="71"/>
      <c r="M45" s="72"/>
      <c r="N45" s="71"/>
      <c r="O45" s="72"/>
      <c r="P45" s="71"/>
      <c r="Q45" s="72"/>
      <c r="R45" s="71"/>
      <c r="S45" s="72"/>
    </row>
    <row r="46" spans="1:19" ht="18" customHeight="1">
      <c r="A46" s="236">
        <v>14200</v>
      </c>
      <c r="B46" s="235" t="s">
        <v>136</v>
      </c>
      <c r="C46" s="483">
        <f>+Estimate!H270</f>
        <v>124750</v>
      </c>
      <c r="D46" s="229"/>
      <c r="E46" s="293">
        <f>+C46</f>
        <v>124750</v>
      </c>
      <c r="F46" s="382">
        <f t="shared" si="1"/>
        <v>110205</v>
      </c>
      <c r="G46" s="382">
        <f t="shared" si="2"/>
        <v>118500</v>
      </c>
      <c r="H46" s="403" t="s">
        <v>407</v>
      </c>
      <c r="I46" s="404">
        <v>118500</v>
      </c>
      <c r="J46" s="405"/>
      <c r="K46" s="404"/>
      <c r="L46" s="71"/>
      <c r="M46" s="72"/>
      <c r="N46" s="71"/>
      <c r="O46" s="72"/>
      <c r="P46" s="71"/>
      <c r="Q46" s="72"/>
      <c r="R46" s="71"/>
      <c r="S46" s="72"/>
    </row>
    <row r="47" spans="1:19" ht="18" customHeight="1">
      <c r="A47" s="234">
        <v>15400</v>
      </c>
      <c r="B47" s="235" t="s">
        <v>58</v>
      </c>
      <c r="C47" s="483">
        <f>+Estimate!H318</f>
        <v>315000</v>
      </c>
      <c r="D47" s="229"/>
      <c r="E47" s="293">
        <f t="shared" si="0"/>
        <v>315000</v>
      </c>
      <c r="F47" s="382">
        <f t="shared" si="1"/>
        <v>311550</v>
      </c>
      <c r="G47" s="382">
        <f>MIN(H47:S47)</f>
        <v>335000</v>
      </c>
      <c r="H47" s="403" t="s">
        <v>372</v>
      </c>
      <c r="I47" s="404">
        <v>335000</v>
      </c>
      <c r="J47" s="405"/>
      <c r="K47" s="404"/>
      <c r="L47" s="71"/>
      <c r="M47" s="72"/>
      <c r="N47" s="71"/>
      <c r="O47" s="72"/>
      <c r="P47" s="71"/>
      <c r="Q47" s="72"/>
      <c r="R47" s="71"/>
      <c r="S47" s="72"/>
    </row>
    <row r="48" spans="1:19" ht="18" customHeight="1">
      <c r="A48" s="234">
        <v>15450</v>
      </c>
      <c r="B48" s="235" t="s">
        <v>217</v>
      </c>
      <c r="C48" s="483" t="str">
        <f>Estimate!H321</f>
        <v>Furnished By the Owner</v>
      </c>
      <c r="D48" s="229"/>
      <c r="E48" s="293" t="str">
        <f t="shared" si="0"/>
        <v>Furnished By the Owner</v>
      </c>
      <c r="F48" s="382">
        <f t="shared" si="1"/>
        <v>0</v>
      </c>
      <c r="G48" s="382"/>
      <c r="H48" s="405"/>
      <c r="I48" s="404"/>
      <c r="J48" s="405"/>
      <c r="K48" s="404"/>
      <c r="L48" s="71"/>
      <c r="M48" s="72"/>
      <c r="N48" s="71"/>
      <c r="O48" s="72"/>
      <c r="P48" s="71"/>
      <c r="Q48" s="72"/>
      <c r="R48" s="71"/>
      <c r="S48" s="72"/>
    </row>
    <row r="49" spans="1:19" ht="18" customHeight="1">
      <c r="A49" s="234">
        <v>15500</v>
      </c>
      <c r="B49" s="235" t="s">
        <v>145</v>
      </c>
      <c r="C49" s="483">
        <f>+Estimate!H330</f>
        <v>70400</v>
      </c>
      <c r="D49" s="229"/>
      <c r="E49" s="293">
        <f t="shared" si="0"/>
        <v>70400</v>
      </c>
      <c r="F49" s="382">
        <f t="shared" si="1"/>
        <v>71052</v>
      </c>
      <c r="G49" s="382">
        <f>MIN(H49:S49)</f>
        <v>76400</v>
      </c>
      <c r="H49" s="403" t="s">
        <v>410</v>
      </c>
      <c r="I49" s="404">
        <v>76400</v>
      </c>
      <c r="J49" s="405"/>
      <c r="K49" s="404"/>
      <c r="L49" s="71"/>
      <c r="M49" s="72"/>
      <c r="N49" s="71"/>
      <c r="O49" s="72"/>
      <c r="P49" s="71"/>
      <c r="Q49" s="72"/>
      <c r="R49" s="71"/>
      <c r="S49" s="72"/>
    </row>
    <row r="50" spans="1:19" ht="18" customHeight="1">
      <c r="A50" s="234">
        <v>15600</v>
      </c>
      <c r="B50" s="235" t="s">
        <v>57</v>
      </c>
      <c r="C50" s="483">
        <f>+Estimate!H344</f>
        <v>495000</v>
      </c>
      <c r="D50" s="229"/>
      <c r="E50" s="293">
        <f t="shared" si="0"/>
        <v>495000</v>
      </c>
      <c r="F50" s="382">
        <f t="shared" si="1"/>
        <v>474300</v>
      </c>
      <c r="G50" s="382">
        <f t="shared" si="2"/>
        <v>510000</v>
      </c>
      <c r="H50" s="403" t="s">
        <v>480</v>
      </c>
      <c r="I50" s="404">
        <v>510000</v>
      </c>
      <c r="J50" s="403" t="s">
        <v>481</v>
      </c>
      <c r="K50" s="404"/>
      <c r="L50" s="71"/>
      <c r="M50" s="72"/>
      <c r="N50" s="71"/>
      <c r="O50" s="72"/>
      <c r="P50" s="71"/>
      <c r="Q50" s="72"/>
      <c r="R50" s="71"/>
      <c r="S50" s="72"/>
    </row>
    <row r="51" spans="1:19" ht="18" customHeight="1">
      <c r="A51" s="234">
        <v>16000</v>
      </c>
      <c r="B51" s="235" t="s">
        <v>54</v>
      </c>
      <c r="C51" s="483">
        <f>+Estimate!H405-C52</f>
        <v>192900</v>
      </c>
      <c r="D51" s="229"/>
      <c r="E51" s="293">
        <f>+C51</f>
        <v>192900</v>
      </c>
      <c r="F51" s="382">
        <f t="shared" si="1"/>
        <v>183005.40000000002</v>
      </c>
      <c r="G51" s="382">
        <f>MIN(H51:S51)</f>
        <v>196780</v>
      </c>
      <c r="H51" s="403" t="s">
        <v>374</v>
      </c>
      <c r="I51" s="404">
        <v>294000</v>
      </c>
      <c r="J51" s="403" t="s">
        <v>376</v>
      </c>
      <c r="K51" s="404">
        <v>359241</v>
      </c>
      <c r="L51" s="239" t="s">
        <v>377</v>
      </c>
      <c r="M51" s="72">
        <f>418000-M52+M54</f>
        <v>274300</v>
      </c>
      <c r="N51" s="239" t="s">
        <v>525</v>
      </c>
      <c r="O51" s="72">
        <v>196780</v>
      </c>
      <c r="P51" s="71"/>
      <c r="Q51" s="72"/>
      <c r="R51" s="71"/>
      <c r="S51" s="72"/>
    </row>
    <row r="52" spans="1:19" ht="18" customHeight="1">
      <c r="A52" s="234"/>
      <c r="B52" s="235" t="s">
        <v>373</v>
      </c>
      <c r="C52" s="483">
        <v>168700</v>
      </c>
      <c r="D52" s="229"/>
      <c r="E52" s="293">
        <v>168700</v>
      </c>
      <c r="F52" s="382"/>
      <c r="G52" s="382"/>
      <c r="H52" s="405"/>
      <c r="I52" s="407" t="s">
        <v>375</v>
      </c>
      <c r="J52" s="405"/>
      <c r="K52" s="407" t="s">
        <v>327</v>
      </c>
      <c r="L52" s="71"/>
      <c r="M52" s="72">
        <v>168700</v>
      </c>
      <c r="N52" s="71"/>
      <c r="O52" s="72"/>
      <c r="P52" s="71"/>
      <c r="Q52" s="72"/>
      <c r="R52" s="71"/>
      <c r="S52" s="72"/>
    </row>
    <row r="53" spans="1:19" ht="18" customHeight="1">
      <c r="A53" s="234"/>
      <c r="B53" s="235" t="s">
        <v>415</v>
      </c>
      <c r="C53" s="483"/>
      <c r="D53" s="229"/>
      <c r="E53" s="293" t="s">
        <v>327</v>
      </c>
      <c r="F53" s="382"/>
      <c r="G53" s="382"/>
      <c r="H53" s="405"/>
      <c r="I53" s="407"/>
      <c r="J53" s="405"/>
      <c r="K53" s="407" t="s">
        <v>327</v>
      </c>
      <c r="L53" s="71"/>
      <c r="M53" s="359" t="s">
        <v>327</v>
      </c>
      <c r="N53" s="71"/>
      <c r="O53" s="72"/>
      <c r="P53" s="71"/>
      <c r="Q53" s="72"/>
      <c r="R53" s="71"/>
      <c r="S53" s="72"/>
    </row>
    <row r="54" spans="1:19" ht="18" customHeight="1">
      <c r="A54" s="234"/>
      <c r="B54" s="235" t="s">
        <v>469</v>
      </c>
      <c r="C54" s="483"/>
      <c r="D54" s="229"/>
      <c r="E54" s="293" t="s">
        <v>327</v>
      </c>
      <c r="F54" s="382"/>
      <c r="G54" s="382"/>
      <c r="H54" s="405"/>
      <c r="I54" s="407"/>
      <c r="J54" s="405"/>
      <c r="K54" s="407" t="s">
        <v>526</v>
      </c>
      <c r="L54" s="71"/>
      <c r="M54" s="72">
        <v>25000</v>
      </c>
      <c r="N54" s="71"/>
      <c r="O54" s="72"/>
      <c r="P54" s="71"/>
      <c r="Q54" s="72"/>
      <c r="R54" s="71"/>
      <c r="S54" s="72"/>
    </row>
    <row r="55" spans="1:19" ht="18" customHeight="1">
      <c r="A55" s="234"/>
      <c r="B55" s="235" t="s">
        <v>470</v>
      </c>
      <c r="C55" s="483"/>
      <c r="D55" s="229"/>
      <c r="E55" s="293" t="s">
        <v>327</v>
      </c>
      <c r="F55" s="382"/>
      <c r="G55" s="382"/>
      <c r="H55" s="405"/>
      <c r="I55" s="407"/>
      <c r="J55" s="405"/>
      <c r="K55" s="407" t="s">
        <v>526</v>
      </c>
      <c r="L55" s="71"/>
      <c r="M55" s="72"/>
      <c r="N55" s="71"/>
      <c r="O55" s="72"/>
      <c r="P55" s="71"/>
      <c r="Q55" s="72"/>
      <c r="R55" s="71"/>
      <c r="S55" s="72"/>
    </row>
    <row r="56" spans="1:19" ht="18" customHeight="1">
      <c r="A56" s="234">
        <v>16300</v>
      </c>
      <c r="B56" s="235" t="s">
        <v>86</v>
      </c>
      <c r="C56" s="483" t="str">
        <f>+Estimate!H408</f>
        <v>By Others</v>
      </c>
      <c r="D56" s="229"/>
      <c r="E56" s="293" t="str">
        <f t="shared" si="0"/>
        <v>By Others</v>
      </c>
      <c r="F56" s="382">
        <f t="shared" si="1"/>
        <v>0</v>
      </c>
      <c r="G56" s="382">
        <f>MIN(H56:S56)</f>
        <v>0</v>
      </c>
      <c r="H56" s="405"/>
      <c r="I56" s="404"/>
      <c r="J56" s="405"/>
      <c r="K56" s="404"/>
      <c r="L56" s="71"/>
      <c r="M56" s="72"/>
      <c r="N56" s="71"/>
      <c r="O56" s="72"/>
      <c r="P56" s="71"/>
      <c r="Q56" s="72"/>
      <c r="R56" s="71"/>
      <c r="S56" s="72"/>
    </row>
    <row r="57" spans="1:19" ht="18" customHeight="1">
      <c r="A57" s="236">
        <v>16500</v>
      </c>
      <c r="B57" s="235" t="s">
        <v>157</v>
      </c>
      <c r="C57" s="483" t="str">
        <f>+Estimate!H411</f>
        <v>By Others</v>
      </c>
      <c r="D57" s="229"/>
      <c r="E57" s="293" t="str">
        <f t="shared" si="0"/>
        <v>By Others</v>
      </c>
      <c r="F57" s="382">
        <f t="shared" si="1"/>
        <v>0</v>
      </c>
      <c r="G57" s="382">
        <f t="shared" si="2"/>
        <v>0</v>
      </c>
      <c r="H57" s="405"/>
      <c r="I57" s="404"/>
      <c r="J57" s="405"/>
      <c r="K57" s="404"/>
      <c r="L57" s="71"/>
      <c r="M57" s="72"/>
      <c r="N57" s="71"/>
      <c r="O57" s="72"/>
      <c r="P57" s="71"/>
      <c r="Q57" s="72"/>
      <c r="R57" s="71"/>
      <c r="S57" s="72"/>
    </row>
    <row r="58" spans="1:19" ht="18" customHeight="1">
      <c r="A58" s="234">
        <v>17300</v>
      </c>
      <c r="B58" s="235" t="s">
        <v>85</v>
      </c>
      <c r="C58" s="483" t="str">
        <f>+Estimate!H414</f>
        <v>By Others</v>
      </c>
      <c r="D58" s="229"/>
      <c r="E58" s="293" t="str">
        <f t="shared" si="0"/>
        <v>By Others</v>
      </c>
      <c r="F58" s="382">
        <f t="shared" si="1"/>
        <v>0</v>
      </c>
      <c r="G58" s="382">
        <f t="shared" si="2"/>
        <v>0</v>
      </c>
      <c r="H58" s="405"/>
      <c r="I58" s="404"/>
      <c r="J58" s="405"/>
      <c r="K58" s="404"/>
      <c r="L58" s="71"/>
      <c r="M58" s="72"/>
      <c r="N58" s="71"/>
      <c r="O58" s="72"/>
      <c r="P58" s="71"/>
      <c r="Q58" s="72"/>
      <c r="R58" s="71"/>
      <c r="S58" s="72"/>
    </row>
    <row r="59" spans="1:19" ht="18" customHeight="1">
      <c r="A59" s="236" t="s">
        <v>84</v>
      </c>
      <c r="B59" s="235" t="s">
        <v>183</v>
      </c>
      <c r="C59" s="483" t="e">
        <f>+Estimate!#REF!</f>
        <v>#REF!</v>
      </c>
      <c r="D59" s="229"/>
      <c r="E59" s="293" t="e">
        <f t="shared" si="0"/>
        <v>#REF!</v>
      </c>
      <c r="F59" s="382">
        <f t="shared" si="1"/>
        <v>0</v>
      </c>
      <c r="G59" s="382">
        <f t="shared" si="2"/>
        <v>0</v>
      </c>
      <c r="H59" s="405"/>
      <c r="I59" s="404"/>
      <c r="J59" s="405"/>
      <c r="K59" s="404"/>
      <c r="L59" s="71"/>
      <c r="M59" s="72"/>
      <c r="N59" s="71"/>
      <c r="O59" s="72"/>
      <c r="P59" s="71"/>
      <c r="Q59" s="72"/>
      <c r="R59" s="71"/>
      <c r="S59" s="72"/>
    </row>
    <row r="60" spans="1:19" ht="15.3">
      <c r="A60" s="58"/>
      <c r="B60" s="58"/>
      <c r="C60" s="408"/>
      <c r="D60" s="73"/>
      <c r="E60" s="377"/>
      <c r="F60" s="408"/>
      <c r="G60" s="408"/>
      <c r="H60" s="408"/>
      <c r="I60" s="408"/>
      <c r="J60" s="408"/>
      <c r="K60" s="408"/>
      <c r="L60" s="68"/>
      <c r="M60" s="73"/>
      <c r="N60" s="68"/>
      <c r="O60" s="73"/>
      <c r="P60" s="68"/>
      <c r="Q60" s="73"/>
      <c r="R60" s="68"/>
      <c r="S60" s="73"/>
    </row>
    <row r="61" spans="1:19" ht="15.3">
      <c r="A61" s="69"/>
      <c r="B61" s="69" t="s">
        <v>61</v>
      </c>
      <c r="C61" s="383" t="e">
        <f>SUM(C10:C60)</f>
        <v>#REF!</v>
      </c>
      <c r="D61" s="421">
        <f>+Estimate!H416</f>
        <v>4782649</v>
      </c>
      <c r="E61" s="378" t="e">
        <f>SUM(E10:E60)</f>
        <v>#REF!</v>
      </c>
      <c r="F61" s="383">
        <f>SUM(F10:F60)</f>
        <v>2579758.6199999996</v>
      </c>
      <c r="G61" s="383" t="e">
        <f>+D61-E61</f>
        <v>#REF!</v>
      </c>
      <c r="H61" s="392" t="s">
        <v>88</v>
      </c>
      <c r="I61" s="396"/>
      <c r="J61" s="396"/>
      <c r="K61" s="396"/>
      <c r="L61" s="64"/>
      <c r="M61" s="64"/>
      <c r="N61" s="64"/>
      <c r="O61" s="127"/>
      <c r="P61" s="64"/>
      <c r="Q61" s="127"/>
      <c r="R61" s="64"/>
      <c r="S61" s="127"/>
    </row>
    <row r="62" spans="1:19" ht="18" customHeight="1">
      <c r="A62" s="69"/>
      <c r="B62" s="69" t="s">
        <v>81</v>
      </c>
      <c r="C62" s="74"/>
      <c r="D62" s="74"/>
      <c r="E62" s="378" t="e">
        <f>SUM(E61:E61)*RFE!$F$20</f>
        <v>#REF!</v>
      </c>
      <c r="F62" s="383">
        <f>SUM(F61:F61)*RFE!$F$20</f>
        <v>187032.49994999997</v>
      </c>
      <c r="G62" s="383">
        <f>+RFE!F20</f>
        <v>7.2499999999999995E-2</v>
      </c>
      <c r="H62" s="410" t="e">
        <f>+E61-E10</f>
        <v>#REF!</v>
      </c>
      <c r="I62" s="410" t="e">
        <f>+E62+E10</f>
        <v>#REF!</v>
      </c>
      <c r="J62" s="417" t="e">
        <f>+I62/H62</f>
        <v>#REF!</v>
      </c>
      <c r="K62" s="410"/>
      <c r="L62" s="75"/>
      <c r="M62" s="76"/>
      <c r="N62" s="75"/>
      <c r="O62" s="129"/>
      <c r="P62" s="75"/>
      <c r="Q62" s="129"/>
      <c r="R62" s="75"/>
      <c r="S62" s="129"/>
    </row>
    <row r="63" spans="1:19" ht="18" customHeight="1">
      <c r="A63" s="69"/>
      <c r="B63" s="69" t="s">
        <v>127</v>
      </c>
      <c r="C63" s="74"/>
      <c r="D63" s="74"/>
      <c r="E63" s="378" t="e">
        <f>SUM(E61:E62)*RFE!$F$21</f>
        <v>#REF!</v>
      </c>
      <c r="F63" s="383">
        <f>SUM(F61:F62)*RFE!$F$21</f>
        <v>69169.777998749996</v>
      </c>
      <c r="G63" s="383">
        <f>+RFE!F21</f>
        <v>2.5000000000000001E-2</v>
      </c>
      <c r="H63" s="409" t="s">
        <v>517</v>
      </c>
      <c r="I63" s="416" t="s">
        <v>518</v>
      </c>
      <c r="J63" s="410"/>
      <c r="K63" s="410"/>
      <c r="L63" s="75"/>
      <c r="M63" s="76"/>
      <c r="N63" s="75"/>
      <c r="O63" s="129"/>
      <c r="P63" s="75"/>
      <c r="Q63" s="129"/>
      <c r="R63" s="75"/>
      <c r="S63" s="129"/>
    </row>
    <row r="64" spans="1:19" ht="15.3">
      <c r="A64" s="69"/>
      <c r="B64" s="69" t="s">
        <v>82</v>
      </c>
      <c r="C64" s="74"/>
      <c r="D64" s="74"/>
      <c r="E64" s="378" t="e">
        <f>SUM(E61:E63)*RFE!$F$22</f>
        <v>#REF!</v>
      </c>
      <c r="F64" s="383">
        <f>SUM(F61:F63)*RFE!$F$22</f>
        <v>92168.729183334377</v>
      </c>
      <c r="G64" s="383">
        <f>+RFE!F22</f>
        <v>3.2500000000000001E-2</v>
      </c>
      <c r="H64" s="411"/>
      <c r="I64" s="410"/>
      <c r="J64" s="410"/>
      <c r="K64" s="410"/>
      <c r="L64" s="75"/>
      <c r="M64" s="75"/>
      <c r="N64" s="75"/>
      <c r="O64" s="128"/>
      <c r="P64" s="75"/>
      <c r="Q64" s="128"/>
      <c r="R64" s="75"/>
      <c r="S64" s="128"/>
    </row>
    <row r="65" spans="1:19" ht="15.3">
      <c r="A65" s="69"/>
      <c r="B65" s="69" t="s">
        <v>68</v>
      </c>
      <c r="C65" s="74"/>
      <c r="D65" s="74"/>
      <c r="E65" s="378" t="e">
        <f>SUM(E61:E64)</f>
        <v>#REF!</v>
      </c>
      <c r="F65" s="383">
        <f>SUM(F61:F64)</f>
        <v>2928129.6271320842</v>
      </c>
      <c r="G65" s="383"/>
      <c r="H65" s="411"/>
      <c r="I65" s="410"/>
      <c r="J65" s="410"/>
      <c r="K65" s="410"/>
      <c r="L65" s="75"/>
      <c r="M65" s="75"/>
      <c r="N65" s="75"/>
      <c r="O65" s="128"/>
      <c r="P65" s="75"/>
      <c r="Q65" s="128"/>
      <c r="R65" s="75"/>
      <c r="S65" s="128"/>
    </row>
    <row r="66" spans="1:19" ht="15.3">
      <c r="A66" s="295"/>
      <c r="B66" s="295"/>
      <c r="C66" s="296"/>
      <c r="D66" s="296"/>
      <c r="E66" s="379"/>
      <c r="F66" s="412"/>
      <c r="G66" s="412"/>
      <c r="H66" s="413"/>
      <c r="I66" s="413"/>
      <c r="J66" s="413"/>
      <c r="K66" s="413"/>
      <c r="L66" s="297"/>
      <c r="M66" s="297"/>
      <c r="N66" s="297"/>
      <c r="O66" s="297"/>
      <c r="P66" s="297"/>
      <c r="Q66" s="297"/>
      <c r="R66" s="297"/>
      <c r="S66" s="297"/>
    </row>
    <row r="67" spans="1:19" ht="15.6" thickBot="1">
      <c r="A67" s="77"/>
      <c r="B67" s="77"/>
      <c r="C67" s="78"/>
      <c r="D67" s="78"/>
      <c r="E67" s="380"/>
      <c r="F67" s="380"/>
      <c r="G67" s="414"/>
      <c r="H67" s="414"/>
      <c r="I67" s="414"/>
      <c r="J67" s="414"/>
      <c r="K67" s="414"/>
      <c r="L67" s="77"/>
      <c r="M67" s="77"/>
      <c r="N67" s="77"/>
      <c r="O67" s="77"/>
      <c r="P67" s="77"/>
      <c r="Q67" s="77"/>
      <c r="R67" s="77"/>
      <c r="S67" s="77"/>
    </row>
    <row r="68" spans="1:19" ht="15.3">
      <c r="A68" s="68"/>
      <c r="B68" s="68"/>
      <c r="C68" s="73"/>
      <c r="D68" s="73"/>
      <c r="E68" s="381"/>
      <c r="F68" s="381"/>
      <c r="G68" s="408"/>
      <c r="H68" s="408"/>
      <c r="I68" s="408"/>
      <c r="J68" s="408"/>
      <c r="K68" s="408"/>
      <c r="L68" s="68"/>
      <c r="M68" s="68"/>
      <c r="N68" s="68"/>
      <c r="O68" s="68"/>
      <c r="P68" s="68"/>
      <c r="Q68" s="68"/>
      <c r="R68" s="68"/>
      <c r="S68" s="68"/>
    </row>
    <row r="69" spans="1:19" ht="15.3">
      <c r="A69" s="69"/>
      <c r="B69" s="139" t="s">
        <v>539</v>
      </c>
      <c r="C69" s="70"/>
      <c r="D69" s="70"/>
      <c r="E69" s="382"/>
      <c r="F69" s="382"/>
      <c r="G69" s="382"/>
      <c r="H69" s="405"/>
      <c r="I69" s="404"/>
      <c r="J69" s="405"/>
      <c r="K69" s="404"/>
      <c r="L69" s="71"/>
      <c r="M69" s="72"/>
      <c r="N69" s="71"/>
      <c r="O69" s="72"/>
      <c r="P69" s="71"/>
      <c r="Q69" s="72"/>
      <c r="R69" s="71"/>
      <c r="S69" s="72"/>
    </row>
    <row r="70" spans="1:19" ht="15.3">
      <c r="A70" s="69"/>
      <c r="B70" s="139" t="s">
        <v>388</v>
      </c>
      <c r="C70" s="70"/>
      <c r="D70" s="70"/>
      <c r="E70" s="382"/>
      <c r="F70" s="382"/>
      <c r="G70" s="382"/>
      <c r="H70" s="405"/>
      <c r="I70" s="404"/>
      <c r="J70" s="405"/>
      <c r="K70" s="404"/>
      <c r="L70" s="71"/>
      <c r="M70" s="72"/>
      <c r="N70" s="71"/>
      <c r="O70" s="72"/>
      <c r="P70" s="71"/>
      <c r="Q70" s="72"/>
      <c r="R70" s="71"/>
      <c r="S70" s="72"/>
    </row>
    <row r="71" spans="1:19" ht="15.3">
      <c r="A71" s="69"/>
      <c r="B71" s="69" t="s">
        <v>389</v>
      </c>
      <c r="C71" s="70"/>
      <c r="D71" s="70"/>
      <c r="E71" s="382"/>
      <c r="F71" s="382">
        <f t="shared" ref="F71:F74" si="3">G71*0.93</f>
        <v>161262</v>
      </c>
      <c r="G71" s="382">
        <f>MIN(I71,K71,M71,Q71)</f>
        <v>173400</v>
      </c>
      <c r="H71" s="403" t="s">
        <v>387</v>
      </c>
      <c r="I71" s="404">
        <v>173400</v>
      </c>
      <c r="J71" s="403" t="s">
        <v>412</v>
      </c>
      <c r="K71" s="404">
        <v>178500</v>
      </c>
      <c r="L71" s="71"/>
      <c r="M71" s="72"/>
      <c r="N71" s="71"/>
      <c r="O71" s="72"/>
      <c r="P71" s="71"/>
      <c r="Q71" s="72"/>
      <c r="R71" s="71"/>
      <c r="S71" s="72"/>
    </row>
    <row r="72" spans="1:19" ht="15.3">
      <c r="A72" s="69"/>
      <c r="B72" s="69" t="s">
        <v>413</v>
      </c>
      <c r="C72" s="70">
        <v>10000</v>
      </c>
      <c r="D72" s="288" t="s">
        <v>239</v>
      </c>
      <c r="E72" s="382"/>
      <c r="F72" s="382">
        <f t="shared" si="3"/>
        <v>69750</v>
      </c>
      <c r="G72" s="382">
        <v>75000</v>
      </c>
      <c r="H72" s="405"/>
      <c r="I72" s="404"/>
      <c r="J72" s="405"/>
      <c r="K72" s="407" t="s">
        <v>327</v>
      </c>
      <c r="L72" s="71"/>
      <c r="M72" s="72"/>
      <c r="N72" s="71"/>
      <c r="O72" s="72"/>
      <c r="P72" s="71"/>
      <c r="Q72" s="72"/>
      <c r="R72" s="71"/>
      <c r="S72" s="72"/>
    </row>
    <row r="73" spans="1:19" ht="15.3">
      <c r="A73" s="69"/>
      <c r="B73" s="69" t="s">
        <v>538</v>
      </c>
      <c r="C73" s="70">
        <v>500</v>
      </c>
      <c r="D73" s="288" t="s">
        <v>239</v>
      </c>
      <c r="E73" s="382"/>
      <c r="F73" s="382">
        <f t="shared" si="3"/>
        <v>32550</v>
      </c>
      <c r="G73" s="382">
        <v>35000</v>
      </c>
      <c r="H73" s="405"/>
      <c r="I73" s="404"/>
      <c r="J73" s="405"/>
      <c r="K73" s="404"/>
      <c r="L73" s="71"/>
      <c r="M73" s="72"/>
      <c r="N73" s="71"/>
      <c r="O73" s="72"/>
      <c r="P73" s="71"/>
      <c r="Q73" s="72"/>
      <c r="R73" s="71"/>
      <c r="S73" s="72"/>
    </row>
    <row r="74" spans="1:19" ht="15.3">
      <c r="A74" s="69"/>
      <c r="B74" s="69" t="s">
        <v>89</v>
      </c>
      <c r="C74" s="70"/>
      <c r="D74" s="70"/>
      <c r="E74" s="382"/>
      <c r="F74" s="382">
        <f t="shared" si="3"/>
        <v>0</v>
      </c>
      <c r="G74" s="382">
        <f>MIN(I74,K74,M74,Q74)</f>
        <v>0</v>
      </c>
      <c r="H74" s="405"/>
      <c r="I74" s="404"/>
      <c r="J74" s="405"/>
      <c r="K74" s="404"/>
      <c r="L74" s="71"/>
      <c r="M74" s="72"/>
      <c r="N74" s="71"/>
      <c r="O74" s="72"/>
      <c r="P74" s="71"/>
      <c r="Q74" s="72"/>
      <c r="R74" s="71"/>
      <c r="S74" s="72"/>
    </row>
    <row r="75" spans="1:19" ht="15.3">
      <c r="A75" s="69"/>
      <c r="B75" s="69" t="s">
        <v>61</v>
      </c>
      <c r="C75" s="70" t="e">
        <f>Estimate!#REF!</f>
        <v>#REF!</v>
      </c>
      <c r="D75" s="70"/>
      <c r="E75" s="383">
        <f>SUM(E70:E74)</f>
        <v>0</v>
      </c>
      <c r="F75" s="382"/>
      <c r="G75" s="382"/>
      <c r="H75" s="405"/>
      <c r="I75" s="404"/>
      <c r="J75" s="405"/>
      <c r="K75" s="404"/>
      <c r="L75" s="71"/>
      <c r="M75" s="72"/>
      <c r="N75" s="71"/>
      <c r="O75" s="72"/>
      <c r="P75" s="71"/>
      <c r="Q75" s="72"/>
      <c r="R75" s="71"/>
      <c r="S75" s="72"/>
    </row>
    <row r="76" spans="1:19" ht="15.3">
      <c r="A76" s="69"/>
      <c r="B76" s="69" t="s">
        <v>126</v>
      </c>
      <c r="C76" s="288" t="e">
        <f>C75*RFE!$F$20</f>
        <v>#REF!</v>
      </c>
      <c r="D76" s="74"/>
      <c r="E76" s="383">
        <f>E75*RFE!$F$20</f>
        <v>0</v>
      </c>
      <c r="F76" s="382"/>
      <c r="G76" s="383">
        <f>SUM(G69:G74)*RFE!$F$20</f>
        <v>20546.5</v>
      </c>
      <c r="H76" s="405"/>
      <c r="I76" s="404"/>
      <c r="J76" s="405"/>
      <c r="K76" s="404"/>
      <c r="L76" s="71"/>
      <c r="M76" s="72"/>
      <c r="N76" s="71"/>
      <c r="O76" s="72"/>
      <c r="P76" s="71"/>
      <c r="Q76" s="72"/>
      <c r="R76" s="71"/>
      <c r="S76" s="72"/>
    </row>
    <row r="77" spans="1:19" ht="15.3">
      <c r="A77" s="69"/>
      <c r="B77" s="69" t="s">
        <v>127</v>
      </c>
      <c r="C77" s="288">
        <f>SUM(A69:A76)*RFE!$F$21</f>
        <v>0</v>
      </c>
      <c r="D77" s="74"/>
      <c r="E77" s="383" t="e">
        <f>SUM(C69:C76)*RFE!$F$21</f>
        <v>#REF!</v>
      </c>
      <c r="F77" s="382"/>
      <c r="G77" s="383">
        <f>SUM(G69:G76)*RFE!$F$21</f>
        <v>7598.6625000000004</v>
      </c>
      <c r="H77" s="405"/>
      <c r="I77" s="404"/>
      <c r="J77" s="405"/>
      <c r="K77" s="404"/>
      <c r="L77" s="71"/>
      <c r="M77" s="72"/>
      <c r="N77" s="71"/>
      <c r="O77" s="72"/>
      <c r="P77" s="71"/>
      <c r="Q77" s="72"/>
      <c r="R77" s="71"/>
      <c r="S77" s="72"/>
    </row>
    <row r="78" spans="1:19" ht="15.3">
      <c r="A78" s="69"/>
      <c r="B78" s="69" t="s">
        <v>82</v>
      </c>
      <c r="C78" s="288">
        <f>SUM(A69:A77)*RFE!$F$22</f>
        <v>0</v>
      </c>
      <c r="D78" s="74"/>
      <c r="E78" s="383" t="e">
        <f>SUM(C69:C77)*RFE!$F$22</f>
        <v>#REF!</v>
      </c>
      <c r="F78" s="382"/>
      <c r="G78" s="383">
        <f>SUM(G69:G77)*RFE!$F$22</f>
        <v>10125.217781249999</v>
      </c>
      <c r="H78" s="405"/>
      <c r="I78" s="404"/>
      <c r="J78" s="405"/>
      <c r="K78" s="404"/>
      <c r="L78" s="71"/>
      <c r="M78" s="72"/>
      <c r="N78" s="71"/>
      <c r="O78" s="72"/>
      <c r="P78" s="71"/>
      <c r="Q78" s="72"/>
      <c r="R78" s="71"/>
      <c r="S78" s="72"/>
    </row>
    <row r="79" spans="1:19" ht="15.3">
      <c r="A79" s="69"/>
      <c r="B79" s="69" t="s">
        <v>68</v>
      </c>
      <c r="C79" s="288" t="e">
        <f>SUM(C75:C78)</f>
        <v>#REF!</v>
      </c>
      <c r="D79" s="74"/>
      <c r="E79" s="383" t="e">
        <f>SUM(E75:E78)</f>
        <v>#REF!</v>
      </c>
      <c r="F79" s="382"/>
      <c r="G79" s="383">
        <f>SUM(G69:G78)</f>
        <v>321670.38028124999</v>
      </c>
      <c r="H79" s="405"/>
      <c r="I79" s="404"/>
      <c r="J79" s="405"/>
      <c r="K79" s="404"/>
      <c r="L79" s="71"/>
      <c r="M79" s="72"/>
      <c r="N79" s="71"/>
      <c r="O79" s="72"/>
      <c r="P79" s="71"/>
      <c r="Q79" s="72"/>
      <c r="R79" s="71"/>
      <c r="S79" s="72"/>
    </row>
    <row r="80" spans="1:19" ht="15.3">
      <c r="A80" s="69"/>
      <c r="B80" s="69"/>
      <c r="C80" s="70"/>
      <c r="D80" s="70"/>
      <c r="E80" s="382"/>
      <c r="F80" s="382"/>
      <c r="G80" s="382"/>
      <c r="H80" s="405"/>
      <c r="I80" s="404"/>
      <c r="J80" s="405"/>
      <c r="K80" s="404"/>
      <c r="L80" s="71"/>
      <c r="M80" s="72"/>
      <c r="N80" s="71"/>
      <c r="O80" s="72"/>
      <c r="P80" s="71"/>
      <c r="Q80" s="72"/>
      <c r="R80" s="71"/>
      <c r="S80" s="72"/>
    </row>
    <row r="81" spans="1:19" ht="15.3">
      <c r="A81" s="69"/>
      <c r="B81" s="139" t="s">
        <v>390</v>
      </c>
      <c r="C81" s="70"/>
      <c r="D81" s="70"/>
      <c r="E81" s="382"/>
      <c r="F81" s="382"/>
      <c r="G81" s="382"/>
      <c r="H81" s="405"/>
      <c r="I81" s="404"/>
      <c r="J81" s="405"/>
      <c r="K81" s="404"/>
      <c r="L81" s="71"/>
      <c r="M81" s="72"/>
      <c r="N81" s="71"/>
      <c r="O81" s="72"/>
      <c r="P81" s="71"/>
      <c r="Q81" s="72"/>
      <c r="R81" s="71"/>
      <c r="S81" s="72"/>
    </row>
    <row r="82" spans="1:19" ht="15.3">
      <c r="A82" s="69"/>
      <c r="B82" s="139" t="s">
        <v>391</v>
      </c>
      <c r="C82" s="70"/>
      <c r="D82" s="70"/>
      <c r="E82" s="382"/>
      <c r="F82" s="382"/>
      <c r="G82" s="382"/>
      <c r="H82" s="403"/>
      <c r="I82" s="404"/>
      <c r="J82" s="405"/>
      <c r="K82" s="404"/>
      <c r="L82" s="71"/>
      <c r="M82" s="72"/>
      <c r="N82" s="71"/>
      <c r="O82" s="72"/>
      <c r="P82" s="71"/>
      <c r="Q82" s="72"/>
      <c r="R82" s="71"/>
      <c r="S82" s="72"/>
    </row>
    <row r="83" spans="1:19" ht="15.3">
      <c r="A83" s="69"/>
      <c r="B83" s="69" t="s">
        <v>89</v>
      </c>
      <c r="C83" s="70"/>
      <c r="D83" s="70"/>
      <c r="E83" s="382"/>
      <c r="F83" s="382">
        <f t="shared" ref="F83:F86" si="4">G83*0.93</f>
        <v>21948</v>
      </c>
      <c r="G83" s="382">
        <f>MIN(I83,K83,M83,Q83)</f>
        <v>23600</v>
      </c>
      <c r="H83" s="403" t="s">
        <v>387</v>
      </c>
      <c r="I83" s="404">
        <v>23600</v>
      </c>
      <c r="J83" s="405"/>
      <c r="K83" s="404"/>
      <c r="L83" s="71"/>
      <c r="M83" s="72"/>
      <c r="N83" s="71"/>
      <c r="O83" s="72"/>
      <c r="P83" s="71"/>
      <c r="Q83" s="72"/>
      <c r="R83" s="71"/>
      <c r="S83" s="72"/>
    </row>
    <row r="84" spans="1:19" ht="15.3">
      <c r="A84" s="69"/>
      <c r="B84" s="69" t="s">
        <v>89</v>
      </c>
      <c r="C84" s="70"/>
      <c r="D84" s="70"/>
      <c r="E84" s="382"/>
      <c r="F84" s="382">
        <f t="shared" si="4"/>
        <v>0</v>
      </c>
      <c r="G84" s="382">
        <f>MIN(I84,K84,M84,Q84)</f>
        <v>0</v>
      </c>
      <c r="H84" s="405"/>
      <c r="I84" s="404"/>
      <c r="J84" s="405"/>
      <c r="K84" s="404"/>
      <c r="L84" s="71"/>
      <c r="M84" s="72"/>
      <c r="N84" s="71"/>
      <c r="O84" s="72"/>
      <c r="P84" s="71"/>
      <c r="Q84" s="72"/>
      <c r="R84" s="71"/>
      <c r="S84" s="72"/>
    </row>
    <row r="85" spans="1:19" ht="15.3">
      <c r="A85" s="69"/>
      <c r="B85" s="69" t="s">
        <v>89</v>
      </c>
      <c r="C85" s="70"/>
      <c r="D85" s="70"/>
      <c r="E85" s="382"/>
      <c r="F85" s="382">
        <f t="shared" si="4"/>
        <v>0</v>
      </c>
      <c r="G85" s="382">
        <f>MIN(I85,K85,M85,Q85)</f>
        <v>0</v>
      </c>
      <c r="H85" s="405"/>
      <c r="I85" s="404"/>
      <c r="J85" s="405"/>
      <c r="K85" s="404"/>
      <c r="L85" s="71"/>
      <c r="M85" s="72"/>
      <c r="N85" s="71"/>
      <c r="O85" s="72"/>
      <c r="P85" s="71"/>
      <c r="Q85" s="72"/>
      <c r="R85" s="71"/>
      <c r="S85" s="72"/>
    </row>
    <row r="86" spans="1:19" ht="15.3">
      <c r="A86" s="69"/>
      <c r="B86" s="69" t="s">
        <v>89</v>
      </c>
      <c r="C86" s="70"/>
      <c r="D86" s="70"/>
      <c r="E86" s="382"/>
      <c r="F86" s="382">
        <f t="shared" si="4"/>
        <v>0</v>
      </c>
      <c r="G86" s="382">
        <f>MIN(I86,K86,M86,Q86)</f>
        <v>0</v>
      </c>
      <c r="H86" s="405"/>
      <c r="I86" s="404"/>
      <c r="J86" s="405"/>
      <c r="K86" s="404"/>
      <c r="L86" s="71"/>
      <c r="M86" s="72"/>
      <c r="N86" s="71"/>
      <c r="O86" s="72"/>
      <c r="P86" s="71"/>
      <c r="Q86" s="72"/>
      <c r="R86" s="71"/>
      <c r="S86" s="72"/>
    </row>
    <row r="87" spans="1:19" ht="15.3">
      <c r="A87" s="69"/>
      <c r="B87" s="69" t="s">
        <v>61</v>
      </c>
      <c r="C87" s="70" t="e">
        <f>Estimate!#REF!</f>
        <v>#REF!</v>
      </c>
      <c r="D87" s="70"/>
      <c r="E87" s="383">
        <f>SUM(E82:E86)</f>
        <v>0</v>
      </c>
      <c r="F87" s="382"/>
      <c r="G87" s="382"/>
      <c r="H87" s="405"/>
      <c r="I87" s="404"/>
      <c r="J87" s="405"/>
      <c r="K87" s="404"/>
      <c r="L87" s="71"/>
      <c r="M87" s="72"/>
      <c r="N87" s="71"/>
      <c r="O87" s="72"/>
      <c r="P87" s="71"/>
      <c r="Q87" s="72"/>
      <c r="R87" s="71"/>
      <c r="S87" s="72"/>
    </row>
    <row r="88" spans="1:19" ht="15.3">
      <c r="A88" s="69"/>
      <c r="B88" s="69" t="s">
        <v>126</v>
      </c>
      <c r="C88" s="288" t="e">
        <f>C87*RFE!$F$20</f>
        <v>#REF!</v>
      </c>
      <c r="D88" s="74"/>
      <c r="E88" s="383">
        <f>E87*RFE!$F$20</f>
        <v>0</v>
      </c>
      <c r="F88" s="382"/>
      <c r="G88" s="383">
        <f>SUM(G81:G86)*RFE!$F$20</f>
        <v>1710.9999999999998</v>
      </c>
      <c r="H88" s="405"/>
      <c r="I88" s="404"/>
      <c r="J88" s="405"/>
      <c r="K88" s="404"/>
      <c r="L88" s="71"/>
      <c r="M88" s="72"/>
      <c r="N88" s="71"/>
      <c r="O88" s="72"/>
      <c r="P88" s="71"/>
      <c r="Q88" s="72"/>
      <c r="R88" s="71"/>
      <c r="S88" s="72"/>
    </row>
    <row r="89" spans="1:19" ht="15.3">
      <c r="A89" s="69"/>
      <c r="B89" s="69" t="s">
        <v>127</v>
      </c>
      <c r="C89" s="288">
        <f>SUM(A81:A88)*RFE!$F$21</f>
        <v>0</v>
      </c>
      <c r="D89" s="74"/>
      <c r="E89" s="383" t="e">
        <f>SUM(C81:C88)*RFE!$F$21</f>
        <v>#REF!</v>
      </c>
      <c r="F89" s="382"/>
      <c r="G89" s="383">
        <f>SUM(G81:G88)*RFE!$F$21</f>
        <v>632.77500000000009</v>
      </c>
      <c r="H89" s="405"/>
      <c r="I89" s="404"/>
      <c r="J89" s="405"/>
      <c r="K89" s="404"/>
      <c r="L89" s="71"/>
      <c r="M89" s="72"/>
      <c r="N89" s="71"/>
      <c r="O89" s="72"/>
      <c r="P89" s="71"/>
      <c r="Q89" s="72"/>
      <c r="R89" s="71"/>
      <c r="S89" s="72"/>
    </row>
    <row r="90" spans="1:19" ht="15.3">
      <c r="A90" s="69"/>
      <c r="B90" s="69" t="s">
        <v>82</v>
      </c>
      <c r="C90" s="288">
        <f>SUM(A81:A89)*RFE!$F$22</f>
        <v>0</v>
      </c>
      <c r="D90" s="74"/>
      <c r="E90" s="383" t="e">
        <f>SUM(C81:C89)*RFE!$F$22</f>
        <v>#REF!</v>
      </c>
      <c r="F90" s="382"/>
      <c r="G90" s="383">
        <f>SUM(G81:G89)*RFE!$F$22</f>
        <v>843.17268750000005</v>
      </c>
      <c r="H90" s="405"/>
      <c r="I90" s="404"/>
      <c r="J90" s="405"/>
      <c r="K90" s="404"/>
      <c r="L90" s="71"/>
      <c r="M90" s="72"/>
      <c r="N90" s="71"/>
      <c r="O90" s="72"/>
      <c r="P90" s="71"/>
      <c r="Q90" s="72"/>
      <c r="R90" s="71"/>
      <c r="S90" s="72"/>
    </row>
    <row r="91" spans="1:19" ht="15.3">
      <c r="A91" s="69"/>
      <c r="B91" s="69" t="s">
        <v>68</v>
      </c>
      <c r="C91" s="288" t="e">
        <f>SUM(C87:C90)</f>
        <v>#REF!</v>
      </c>
      <c r="D91" s="74"/>
      <c r="E91" s="383" t="e">
        <f>SUM(E87:E90)</f>
        <v>#REF!</v>
      </c>
      <c r="F91" s="382"/>
      <c r="G91" s="383">
        <f>SUM(G81:G90)</f>
        <v>26786.9476875</v>
      </c>
      <c r="H91" s="405"/>
      <c r="I91" s="404"/>
      <c r="J91" s="405"/>
      <c r="K91" s="404"/>
      <c r="L91" s="71"/>
      <c r="M91" s="72"/>
      <c r="N91" s="71"/>
      <c r="O91" s="72"/>
      <c r="P91" s="71"/>
      <c r="Q91" s="72"/>
      <c r="R91" s="71"/>
      <c r="S91" s="72"/>
    </row>
    <row r="92" spans="1:19" ht="15.3">
      <c r="A92" s="69"/>
      <c r="B92" s="69"/>
      <c r="C92" s="70"/>
      <c r="D92" s="70"/>
      <c r="E92" s="382"/>
      <c r="F92" s="382"/>
      <c r="G92" s="382"/>
      <c r="H92" s="405"/>
      <c r="I92" s="404"/>
      <c r="J92" s="405"/>
      <c r="K92" s="404"/>
      <c r="L92" s="71"/>
      <c r="M92" s="72"/>
      <c r="N92" s="71"/>
      <c r="O92" s="72"/>
      <c r="P92" s="71"/>
      <c r="Q92" s="72"/>
      <c r="R92" s="71"/>
      <c r="S92" s="72"/>
    </row>
    <row r="93" spans="1:19" ht="15.3">
      <c r="A93" s="69"/>
      <c r="B93" s="139" t="e">
        <f>Estimate!#REF!</f>
        <v>#REF!</v>
      </c>
      <c r="C93" s="70"/>
      <c r="D93" s="70"/>
      <c r="E93" s="382"/>
      <c r="F93" s="382"/>
      <c r="G93" s="382"/>
      <c r="H93" s="405"/>
      <c r="I93" s="404"/>
      <c r="J93" s="405"/>
      <c r="K93" s="404"/>
      <c r="L93" s="71"/>
      <c r="M93" s="72"/>
      <c r="N93" s="71"/>
      <c r="O93" s="72"/>
      <c r="P93" s="71"/>
      <c r="Q93" s="72"/>
      <c r="R93" s="71"/>
      <c r="S93" s="72"/>
    </row>
    <row r="94" spans="1:19" ht="15.3">
      <c r="A94" s="69"/>
      <c r="B94" s="139" t="s">
        <v>222</v>
      </c>
      <c r="C94" s="70"/>
      <c r="D94" s="70"/>
      <c r="E94" s="382"/>
      <c r="F94" s="382"/>
      <c r="G94" s="382"/>
      <c r="H94" s="405"/>
      <c r="I94" s="404"/>
      <c r="J94" s="405"/>
      <c r="K94" s="404"/>
      <c r="L94" s="71"/>
      <c r="M94" s="72"/>
      <c r="N94" s="71"/>
      <c r="O94" s="72"/>
      <c r="P94" s="71"/>
      <c r="Q94" s="72"/>
      <c r="R94" s="71"/>
      <c r="S94" s="72"/>
    </row>
    <row r="95" spans="1:19" ht="15.3">
      <c r="A95" s="69"/>
      <c r="B95" s="69" t="s">
        <v>89</v>
      </c>
      <c r="C95" s="70"/>
      <c r="D95" s="70"/>
      <c r="E95" s="382"/>
      <c r="F95" s="382">
        <f t="shared" ref="F95:F98" si="5">G95*0.93</f>
        <v>0</v>
      </c>
      <c r="G95" s="382">
        <f>MIN(I95,K95,M95,Q95)</f>
        <v>0</v>
      </c>
      <c r="H95" s="405"/>
      <c r="I95" s="404"/>
      <c r="J95" s="405"/>
      <c r="K95" s="404"/>
      <c r="L95" s="71"/>
      <c r="M95" s="72"/>
      <c r="N95" s="71"/>
      <c r="O95" s="72"/>
      <c r="P95" s="71"/>
      <c r="Q95" s="72"/>
      <c r="R95" s="71"/>
      <c r="S95" s="72"/>
    </row>
    <row r="96" spans="1:19" ht="15.3">
      <c r="A96" s="69"/>
      <c r="B96" s="69" t="s">
        <v>89</v>
      </c>
      <c r="C96" s="70"/>
      <c r="D96" s="70"/>
      <c r="E96" s="382"/>
      <c r="F96" s="382">
        <f t="shared" si="5"/>
        <v>0</v>
      </c>
      <c r="G96" s="382">
        <f>MIN(I96,K96,M96,Q96)</f>
        <v>0</v>
      </c>
      <c r="H96" s="405"/>
      <c r="I96" s="404"/>
      <c r="J96" s="405"/>
      <c r="K96" s="404"/>
      <c r="L96" s="71"/>
      <c r="M96" s="72"/>
      <c r="N96" s="71"/>
      <c r="O96" s="72"/>
      <c r="P96" s="71"/>
      <c r="Q96" s="72"/>
      <c r="R96" s="71"/>
      <c r="S96" s="72"/>
    </row>
    <row r="97" spans="1:19" ht="15.3">
      <c r="A97" s="69"/>
      <c r="B97" s="69" t="s">
        <v>89</v>
      </c>
      <c r="C97" s="70"/>
      <c r="D97" s="70"/>
      <c r="E97" s="382"/>
      <c r="F97" s="382">
        <f t="shared" si="5"/>
        <v>0</v>
      </c>
      <c r="G97" s="382">
        <f>MIN(I97,K97,M97,Q97)</f>
        <v>0</v>
      </c>
      <c r="H97" s="405"/>
      <c r="I97" s="404"/>
      <c r="J97" s="405"/>
      <c r="K97" s="404"/>
      <c r="L97" s="71"/>
      <c r="M97" s="72"/>
      <c r="N97" s="71"/>
      <c r="O97" s="72"/>
      <c r="P97" s="71"/>
      <c r="Q97" s="72"/>
      <c r="R97" s="71"/>
      <c r="S97" s="72"/>
    </row>
    <row r="98" spans="1:19" ht="15.3">
      <c r="A98" s="69"/>
      <c r="B98" s="69" t="s">
        <v>89</v>
      </c>
      <c r="C98" s="70"/>
      <c r="D98" s="70"/>
      <c r="E98" s="382"/>
      <c r="F98" s="382">
        <f t="shared" si="5"/>
        <v>0</v>
      </c>
      <c r="G98" s="382">
        <f>MIN(I98,K98,M98,Q98)</f>
        <v>0</v>
      </c>
      <c r="H98" s="405"/>
      <c r="I98" s="404"/>
      <c r="J98" s="405"/>
      <c r="K98" s="404"/>
      <c r="L98" s="71"/>
      <c r="M98" s="72"/>
      <c r="N98" s="71"/>
      <c r="O98" s="72"/>
      <c r="P98" s="71"/>
      <c r="Q98" s="72"/>
      <c r="R98" s="71"/>
      <c r="S98" s="72"/>
    </row>
    <row r="99" spans="1:19" ht="15.3">
      <c r="A99" s="69"/>
      <c r="B99" s="69" t="s">
        <v>61</v>
      </c>
      <c r="C99" s="70" t="e">
        <f>Estimate!#REF!</f>
        <v>#REF!</v>
      </c>
      <c r="D99" s="70"/>
      <c r="E99" s="383">
        <f>SUM(E94:E98)</f>
        <v>0</v>
      </c>
      <c r="F99" s="382"/>
      <c r="G99" s="382"/>
      <c r="H99" s="405"/>
      <c r="I99" s="404"/>
      <c r="J99" s="405"/>
      <c r="K99" s="404"/>
      <c r="L99" s="71"/>
      <c r="M99" s="72"/>
      <c r="N99" s="71"/>
      <c r="O99" s="72"/>
      <c r="P99" s="71"/>
      <c r="Q99" s="72"/>
      <c r="R99" s="71"/>
      <c r="S99" s="72"/>
    </row>
    <row r="100" spans="1:19" ht="15.3">
      <c r="A100" s="69"/>
      <c r="B100" s="69" t="s">
        <v>126</v>
      </c>
      <c r="C100" s="288" t="e">
        <f>C99*RFE!$F$20</f>
        <v>#REF!</v>
      </c>
      <c r="D100" s="74"/>
      <c r="E100" s="383">
        <f>E99*RFE!$F$20</f>
        <v>0</v>
      </c>
      <c r="F100" s="382"/>
      <c r="G100" s="383">
        <f>SUM(G93:G98)*RFE!$F$20</f>
        <v>0</v>
      </c>
      <c r="H100" s="405"/>
      <c r="I100" s="404"/>
      <c r="J100" s="405"/>
      <c r="K100" s="404"/>
      <c r="L100" s="71"/>
      <c r="M100" s="72"/>
      <c r="N100" s="71"/>
      <c r="O100" s="72"/>
      <c r="P100" s="71"/>
      <c r="Q100" s="72"/>
      <c r="R100" s="71"/>
      <c r="S100" s="72"/>
    </row>
    <row r="101" spans="1:19" ht="15.3">
      <c r="A101" s="69"/>
      <c r="B101" s="69" t="s">
        <v>127</v>
      </c>
      <c r="C101" s="288">
        <f>SUM(A93:A100)*RFE!$F$21</f>
        <v>0</v>
      </c>
      <c r="D101" s="74"/>
      <c r="E101" s="383" t="e">
        <f>SUM(C93:C100)*RFE!$F$21</f>
        <v>#REF!</v>
      </c>
      <c r="F101" s="382"/>
      <c r="G101" s="383">
        <f>SUM(G93:G100)*RFE!$F$21</f>
        <v>0</v>
      </c>
      <c r="H101" s="405"/>
      <c r="I101" s="404"/>
      <c r="J101" s="405"/>
      <c r="K101" s="404"/>
      <c r="L101" s="71"/>
      <c r="M101" s="72"/>
      <c r="N101" s="71"/>
      <c r="O101" s="72"/>
      <c r="P101" s="71"/>
      <c r="Q101" s="72"/>
      <c r="R101" s="71"/>
      <c r="S101" s="72"/>
    </row>
    <row r="102" spans="1:19" ht="15.3">
      <c r="A102" s="69"/>
      <c r="B102" s="69" t="s">
        <v>82</v>
      </c>
      <c r="C102" s="288">
        <f>SUM(A93:A101)*RFE!$F$22</f>
        <v>0</v>
      </c>
      <c r="D102" s="74"/>
      <c r="E102" s="383" t="e">
        <f>SUM(C93:C101)*RFE!$F$22</f>
        <v>#REF!</v>
      </c>
      <c r="F102" s="382"/>
      <c r="G102" s="383">
        <f>SUM(G93:G101)*RFE!$F$22</f>
        <v>0</v>
      </c>
      <c r="H102" s="405"/>
      <c r="I102" s="404"/>
      <c r="J102" s="405"/>
      <c r="K102" s="404"/>
      <c r="L102" s="71"/>
      <c r="M102" s="72"/>
      <c r="N102" s="71"/>
      <c r="O102" s="72"/>
      <c r="P102" s="71"/>
      <c r="Q102" s="72"/>
      <c r="R102" s="71"/>
      <c r="S102" s="72"/>
    </row>
    <row r="103" spans="1:19" ht="15.3">
      <c r="A103" s="69"/>
      <c r="B103" s="69" t="s">
        <v>68</v>
      </c>
      <c r="C103" s="288" t="e">
        <f>SUM(C99:C102)</f>
        <v>#REF!</v>
      </c>
      <c r="D103" s="74"/>
      <c r="E103" s="383" t="e">
        <f>SUM(E99:E102)</f>
        <v>#REF!</v>
      </c>
      <c r="F103" s="382"/>
      <c r="G103" s="383">
        <f>SUM(G93:G102)</f>
        <v>0</v>
      </c>
      <c r="H103" s="405"/>
      <c r="I103" s="404"/>
      <c r="J103" s="405"/>
      <c r="K103" s="404"/>
      <c r="L103" s="71"/>
      <c r="M103" s="72"/>
      <c r="N103" s="71"/>
      <c r="O103" s="72"/>
      <c r="P103" s="71"/>
      <c r="Q103" s="72"/>
      <c r="R103" s="71"/>
      <c r="S103" s="72"/>
    </row>
    <row r="104" spans="1:19" ht="15.3">
      <c r="A104" s="69"/>
      <c r="B104" s="69"/>
      <c r="C104" s="74"/>
      <c r="D104" s="74"/>
      <c r="E104" s="383"/>
      <c r="F104" s="382"/>
      <c r="G104" s="383"/>
      <c r="H104" s="405"/>
      <c r="I104" s="404"/>
      <c r="J104" s="405"/>
      <c r="K104" s="404"/>
      <c r="L104" s="71"/>
      <c r="M104" s="72"/>
      <c r="N104" s="71"/>
      <c r="O104" s="72"/>
      <c r="P104" s="71"/>
      <c r="Q104" s="72"/>
      <c r="R104" s="71"/>
      <c r="S104" s="72"/>
    </row>
    <row r="105" spans="1:19" ht="15.3">
      <c r="A105" s="69"/>
      <c r="B105" s="139" t="e">
        <f>Estimate!#REF!</f>
        <v>#REF!</v>
      </c>
      <c r="C105" s="70"/>
      <c r="D105" s="70"/>
      <c r="E105" s="382"/>
      <c r="F105" s="382"/>
      <c r="G105" s="382"/>
      <c r="H105" s="405"/>
      <c r="I105" s="404"/>
      <c r="J105" s="405"/>
      <c r="K105" s="404"/>
      <c r="L105" s="71"/>
      <c r="M105" s="72"/>
      <c r="N105" s="71"/>
      <c r="O105" s="72"/>
      <c r="P105" s="71"/>
      <c r="Q105" s="72"/>
      <c r="R105" s="71"/>
      <c r="S105" s="72"/>
    </row>
    <row r="106" spans="1:19" ht="15.3">
      <c r="A106" s="69"/>
      <c r="B106" s="139" t="s">
        <v>222</v>
      </c>
      <c r="C106" s="70"/>
      <c r="D106" s="70"/>
      <c r="E106" s="382"/>
      <c r="F106" s="382"/>
      <c r="G106" s="382"/>
      <c r="H106" s="405"/>
      <c r="I106" s="404"/>
      <c r="J106" s="405"/>
      <c r="K106" s="404"/>
      <c r="L106" s="71"/>
      <c r="M106" s="72"/>
      <c r="N106" s="71"/>
      <c r="O106" s="72"/>
      <c r="P106" s="71"/>
      <c r="Q106" s="72"/>
      <c r="R106" s="71"/>
      <c r="S106" s="72"/>
    </row>
    <row r="107" spans="1:19" ht="15.3">
      <c r="A107" s="69"/>
      <c r="B107" s="69" t="s">
        <v>89</v>
      </c>
      <c r="C107" s="70"/>
      <c r="D107" s="70"/>
      <c r="E107" s="382"/>
      <c r="F107" s="382">
        <f t="shared" ref="F107:F110" si="6">G107*0.93</f>
        <v>0</v>
      </c>
      <c r="G107" s="382">
        <f>MIN(I107,K107,M107,Q107)</f>
        <v>0</v>
      </c>
      <c r="H107" s="405"/>
      <c r="I107" s="404"/>
      <c r="J107" s="405"/>
      <c r="K107" s="404"/>
      <c r="L107" s="71"/>
      <c r="M107" s="72"/>
      <c r="N107" s="71"/>
      <c r="O107" s="72"/>
      <c r="P107" s="71"/>
      <c r="Q107" s="72"/>
      <c r="R107" s="71"/>
      <c r="S107" s="72"/>
    </row>
    <row r="108" spans="1:19" ht="15.3">
      <c r="A108" s="69"/>
      <c r="B108" s="69" t="s">
        <v>89</v>
      </c>
      <c r="C108" s="70"/>
      <c r="D108" s="70"/>
      <c r="E108" s="382"/>
      <c r="F108" s="382">
        <f t="shared" si="6"/>
        <v>0</v>
      </c>
      <c r="G108" s="382">
        <f>MIN(I108,K108,M108,Q108)</f>
        <v>0</v>
      </c>
      <c r="H108" s="405"/>
      <c r="I108" s="404"/>
      <c r="J108" s="405"/>
      <c r="K108" s="404"/>
      <c r="L108" s="71"/>
      <c r="M108" s="72"/>
      <c r="N108" s="71"/>
      <c r="O108" s="72"/>
      <c r="P108" s="71"/>
      <c r="Q108" s="72"/>
      <c r="R108" s="71"/>
      <c r="S108" s="72"/>
    </row>
    <row r="109" spans="1:19" ht="15.3">
      <c r="A109" s="69"/>
      <c r="B109" s="69" t="s">
        <v>89</v>
      </c>
      <c r="C109" s="70"/>
      <c r="D109" s="70"/>
      <c r="E109" s="382"/>
      <c r="F109" s="382">
        <f t="shared" si="6"/>
        <v>0</v>
      </c>
      <c r="G109" s="382">
        <f>MIN(I109,K109,M109,Q109)</f>
        <v>0</v>
      </c>
      <c r="H109" s="405"/>
      <c r="I109" s="404"/>
      <c r="J109" s="405"/>
      <c r="K109" s="404"/>
      <c r="L109" s="71"/>
      <c r="M109" s="72"/>
      <c r="N109" s="71"/>
      <c r="O109" s="72"/>
      <c r="P109" s="71"/>
      <c r="Q109" s="72"/>
      <c r="R109" s="71"/>
      <c r="S109" s="72"/>
    </row>
    <row r="110" spans="1:19" ht="15.3">
      <c r="A110" s="69"/>
      <c r="B110" s="69" t="s">
        <v>89</v>
      </c>
      <c r="C110" s="70"/>
      <c r="D110" s="70"/>
      <c r="E110" s="382"/>
      <c r="F110" s="382">
        <f t="shared" si="6"/>
        <v>0</v>
      </c>
      <c r="G110" s="382">
        <f>MIN(I110,K110,M110,Q110)</f>
        <v>0</v>
      </c>
      <c r="H110" s="405"/>
      <c r="I110" s="404"/>
      <c r="J110" s="405"/>
      <c r="K110" s="404"/>
      <c r="L110" s="71"/>
      <c r="M110" s="72"/>
      <c r="N110" s="71"/>
      <c r="O110" s="72"/>
      <c r="P110" s="71"/>
      <c r="Q110" s="72"/>
      <c r="R110" s="71"/>
      <c r="S110" s="72"/>
    </row>
    <row r="111" spans="1:19" ht="15.3">
      <c r="A111" s="69"/>
      <c r="B111" s="69" t="s">
        <v>61</v>
      </c>
      <c r="C111" s="70" t="e">
        <f>Estimate!#REF!</f>
        <v>#REF!</v>
      </c>
      <c r="D111" s="70"/>
      <c r="E111" s="383">
        <f>SUM(E106:E110)</f>
        <v>0</v>
      </c>
      <c r="F111" s="382"/>
      <c r="G111" s="382"/>
      <c r="H111" s="405"/>
      <c r="I111" s="404"/>
      <c r="J111" s="405"/>
      <c r="K111" s="404"/>
      <c r="L111" s="71"/>
      <c r="M111" s="72"/>
      <c r="N111" s="71"/>
      <c r="O111" s="72"/>
      <c r="P111" s="71"/>
      <c r="Q111" s="72"/>
      <c r="R111" s="71"/>
      <c r="S111" s="72"/>
    </row>
    <row r="112" spans="1:19" ht="15.3">
      <c r="A112" s="69"/>
      <c r="B112" s="69" t="s">
        <v>126</v>
      </c>
      <c r="C112" s="288" t="e">
        <f>C111*RFE!$F$20</f>
        <v>#REF!</v>
      </c>
      <c r="D112" s="74"/>
      <c r="E112" s="383">
        <f>E111*RFE!$F$20</f>
        <v>0</v>
      </c>
      <c r="F112" s="382"/>
      <c r="G112" s="383">
        <f>SUM(G105:G110)*RFE!$F$20</f>
        <v>0</v>
      </c>
      <c r="H112" s="405"/>
      <c r="I112" s="404"/>
      <c r="J112" s="405"/>
      <c r="K112" s="404"/>
      <c r="L112" s="71"/>
      <c r="M112" s="72"/>
      <c r="N112" s="71"/>
      <c r="O112" s="72"/>
      <c r="P112" s="71"/>
      <c r="Q112" s="72"/>
      <c r="R112" s="71"/>
      <c r="S112" s="72"/>
    </row>
    <row r="113" spans="1:19" ht="15.3">
      <c r="A113" s="69"/>
      <c r="B113" s="69" t="s">
        <v>127</v>
      </c>
      <c r="C113" s="288">
        <f>SUM(A105:A112)*RFE!$F$21</f>
        <v>0</v>
      </c>
      <c r="D113" s="74"/>
      <c r="E113" s="383" t="e">
        <f>SUM(C105:C112)*RFE!$F$21</f>
        <v>#REF!</v>
      </c>
      <c r="F113" s="382"/>
      <c r="G113" s="383">
        <f>SUM(G105:G112)*RFE!$F$21</f>
        <v>0</v>
      </c>
      <c r="H113" s="405"/>
      <c r="I113" s="404"/>
      <c r="J113" s="405"/>
      <c r="K113" s="404"/>
      <c r="L113" s="71"/>
      <c r="M113" s="72"/>
      <c r="N113" s="71"/>
      <c r="O113" s="72"/>
      <c r="P113" s="71"/>
      <c r="Q113" s="72"/>
      <c r="R113" s="71"/>
      <c r="S113" s="72"/>
    </row>
    <row r="114" spans="1:19" ht="15.3">
      <c r="A114" s="69"/>
      <c r="B114" s="69" t="s">
        <v>82</v>
      </c>
      <c r="C114" s="288">
        <f>SUM(A105:A113)*RFE!$F$22</f>
        <v>0</v>
      </c>
      <c r="D114" s="74"/>
      <c r="E114" s="383" t="e">
        <f>SUM(C105:C113)*RFE!$F$22</f>
        <v>#REF!</v>
      </c>
      <c r="F114" s="382"/>
      <c r="G114" s="383">
        <f>SUM(G105:G113)*RFE!$F$22</f>
        <v>0</v>
      </c>
      <c r="H114" s="405"/>
      <c r="I114" s="404"/>
      <c r="J114" s="405"/>
      <c r="K114" s="404"/>
      <c r="L114" s="71"/>
      <c r="M114" s="72"/>
      <c r="N114" s="71"/>
      <c r="O114" s="72"/>
      <c r="P114" s="71"/>
      <c r="Q114" s="72"/>
      <c r="R114" s="71"/>
      <c r="S114" s="72"/>
    </row>
    <row r="115" spans="1:19" ht="15.3">
      <c r="A115" s="69"/>
      <c r="B115" s="69" t="s">
        <v>68</v>
      </c>
      <c r="C115" s="288" t="e">
        <f>SUM(C111:C114)</f>
        <v>#REF!</v>
      </c>
      <c r="D115" s="74"/>
      <c r="E115" s="383" t="e">
        <f>SUM(E111:E114)</f>
        <v>#REF!</v>
      </c>
      <c r="F115" s="382"/>
      <c r="G115" s="383">
        <f>SUM(G105:G114)</f>
        <v>0</v>
      </c>
      <c r="H115" s="405"/>
      <c r="I115" s="404"/>
      <c r="J115" s="405"/>
      <c r="K115" s="404"/>
      <c r="L115" s="71"/>
      <c r="M115" s="72"/>
      <c r="N115" s="71"/>
      <c r="O115" s="72"/>
      <c r="P115" s="71"/>
      <c r="Q115" s="72"/>
      <c r="R115" s="71"/>
      <c r="S115" s="72"/>
    </row>
    <row r="116" spans="1:19" ht="15.3">
      <c r="A116" s="69"/>
      <c r="B116" s="69"/>
      <c r="C116" s="70"/>
      <c r="D116" s="70"/>
      <c r="E116" s="382"/>
      <c r="F116" s="382"/>
      <c r="G116" s="382"/>
      <c r="H116" s="405"/>
      <c r="I116" s="404"/>
      <c r="J116" s="405"/>
      <c r="K116" s="404"/>
      <c r="L116" s="71"/>
      <c r="M116" s="72"/>
      <c r="N116" s="71"/>
      <c r="O116" s="72"/>
      <c r="P116" s="71"/>
      <c r="Q116" s="72"/>
      <c r="R116" s="71"/>
      <c r="S116" s="72"/>
    </row>
  </sheetData>
  <phoneticPr fontId="0" type="noConversion"/>
  <printOptions horizontalCentered="1" verticalCentered="1"/>
  <pageMargins left="0.4" right="0.25" top="0.85" bottom="0.55000000000000004" header="0.5" footer="0.5"/>
  <pageSetup paperSize="5" scale="39" fitToHeight="15" orientation="landscape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FAEF-A8AC-4F50-A8D7-1214168D3558}">
  <dimension ref="A1"/>
  <sheetViews>
    <sheetView workbookViewId="0"/>
    <sheetView workbookViewId="1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2:I247"/>
  <sheetViews>
    <sheetView workbookViewId="0">
      <selection activeCell="C9" sqref="C9"/>
    </sheetView>
    <sheetView workbookViewId="1"/>
  </sheetViews>
  <sheetFormatPr defaultColWidth="7.08984375" defaultRowHeight="12.3"/>
  <cols>
    <col min="1" max="1" width="6.6796875" style="110" customWidth="1"/>
    <col min="2" max="2" width="22.2265625" style="110" customWidth="1"/>
    <col min="3" max="7" width="16.6796875" style="110" customWidth="1"/>
    <col min="8" max="8" width="7.08984375" style="110"/>
    <col min="9" max="9" width="8.453125" style="110" bestFit="1" customWidth="1"/>
    <col min="10" max="16384" width="7.08984375" style="110"/>
  </cols>
  <sheetData>
    <row r="2" spans="1:9" ht="18" customHeight="1">
      <c r="A2" s="111" t="s">
        <v>113</v>
      </c>
      <c r="B2" s="198" t="str">
        <f>RFE!C8</f>
        <v>Town House Renovation</v>
      </c>
      <c r="C2" s="113"/>
      <c r="E2" s="91" t="s">
        <v>114</v>
      </c>
      <c r="F2" s="113" t="str">
        <f>RFE!E14</f>
        <v>24-038C</v>
      </c>
    </row>
    <row r="3" spans="1:9" ht="18" customHeight="1">
      <c r="A3" s="111" t="s">
        <v>115</v>
      </c>
      <c r="B3" s="198" t="str">
        <f>RFE!C9</f>
        <v>60 Bank Street</v>
      </c>
      <c r="C3" s="113"/>
      <c r="E3" s="91" t="s">
        <v>116</v>
      </c>
      <c r="F3" s="113"/>
    </row>
    <row r="4" spans="1:9" ht="18" customHeight="1">
      <c r="A4" s="111" t="s">
        <v>117</v>
      </c>
      <c r="B4" s="112"/>
      <c r="C4" s="113"/>
      <c r="E4" s="91" t="s">
        <v>118</v>
      </c>
      <c r="F4" s="113"/>
    </row>
    <row r="5" spans="1:9" ht="18" customHeight="1">
      <c r="A5" s="111" t="s">
        <v>119</v>
      </c>
      <c r="B5" s="112"/>
      <c r="C5" s="113"/>
    </row>
    <row r="6" spans="1:9" ht="18" customHeight="1" thickBot="1"/>
    <row r="7" spans="1:9" ht="18" customHeight="1">
      <c r="A7" s="634" t="s">
        <v>171</v>
      </c>
      <c r="B7" s="636" t="s">
        <v>79</v>
      </c>
      <c r="C7" s="630" t="s">
        <v>172</v>
      </c>
      <c r="D7" s="638" t="s">
        <v>173</v>
      </c>
      <c r="E7" s="632" t="s">
        <v>170</v>
      </c>
      <c r="F7" s="636" t="s">
        <v>174</v>
      </c>
      <c r="G7" s="628" t="s">
        <v>121</v>
      </c>
    </row>
    <row r="8" spans="1:9" ht="18" customHeight="1">
      <c r="A8" s="635"/>
      <c r="B8" s="637"/>
      <c r="C8" s="631"/>
      <c r="D8" s="639"/>
      <c r="E8" s="633"/>
      <c r="F8" s="637"/>
      <c r="G8" s="629"/>
    </row>
    <row r="9" spans="1:9" ht="17.25" customHeight="1">
      <c r="A9" s="189">
        <f>'Summary Sheet '!A15</f>
        <v>2050</v>
      </c>
      <c r="B9" s="190" t="str">
        <f>'Summary Sheet '!B15</f>
        <v>Demolition</v>
      </c>
      <c r="C9" s="208" t="e">
        <f>'Summary Sheet '!#REF!</f>
        <v>#REF!</v>
      </c>
      <c r="D9" s="190"/>
      <c r="E9" s="187"/>
      <c r="F9" s="187"/>
      <c r="G9" s="191" t="e">
        <f>D9-C9</f>
        <v>#REF!</v>
      </c>
      <c r="I9" s="47" t="e">
        <f t="shared" ref="I9:I73" si="0">ABS(C9+D9+G9)</f>
        <v>#REF!</v>
      </c>
    </row>
    <row r="10" spans="1:9" ht="17.25" customHeight="1">
      <c r="A10" s="189">
        <f>'Summary Sheet '!A12</f>
        <v>2000</v>
      </c>
      <c r="B10" s="190" t="str">
        <f>'Summary Sheet '!B12</f>
        <v>Excavation/Foundation</v>
      </c>
      <c r="C10" s="208" t="e">
        <f>'Summary Sheet '!#REF!</f>
        <v>#REF!</v>
      </c>
      <c r="D10" s="190"/>
      <c r="E10" s="187"/>
      <c r="F10" s="187"/>
      <c r="G10" s="191" t="e">
        <f t="shared" ref="G10:G73" si="1">D10-C10</f>
        <v>#REF!</v>
      </c>
      <c r="I10" s="47" t="e">
        <f t="shared" si="0"/>
        <v>#REF!</v>
      </c>
    </row>
    <row r="11" spans="1:9" ht="17.25" customHeight="1">
      <c r="A11" s="189">
        <f>'Summary Sheet '!A16</f>
        <v>2090</v>
      </c>
      <c r="B11" s="190" t="str">
        <f>'Summary Sheet '!B16</f>
        <v>Asbestos Removal</v>
      </c>
      <c r="C11" s="208" t="e">
        <f>'Summary Sheet '!#REF!</f>
        <v>#REF!</v>
      </c>
      <c r="D11" s="190"/>
      <c r="E11" s="187"/>
      <c r="F11" s="187"/>
      <c r="G11" s="191" t="e">
        <f t="shared" si="1"/>
        <v>#REF!</v>
      </c>
      <c r="I11" s="47" t="e">
        <f t="shared" si="0"/>
        <v>#REF!</v>
      </c>
    </row>
    <row r="12" spans="1:9" ht="17.25" customHeight="1">
      <c r="A12" s="189">
        <f>'Summary Sheet '!A18</f>
        <v>3000</v>
      </c>
      <c r="B12" s="190" t="str">
        <f>'Summary Sheet '!B18</f>
        <v>Concrete</v>
      </c>
      <c r="C12" s="208" t="e">
        <f>'Summary Sheet '!#REF!</f>
        <v>#REF!</v>
      </c>
      <c r="D12" s="190"/>
      <c r="E12" s="187"/>
      <c r="F12" s="187"/>
      <c r="G12" s="191" t="e">
        <f t="shared" si="1"/>
        <v>#REF!</v>
      </c>
      <c r="I12" s="47" t="e">
        <f t="shared" si="0"/>
        <v>#REF!</v>
      </c>
    </row>
    <row r="13" spans="1:9" ht="17.25" customHeight="1">
      <c r="A13" s="189">
        <f>'Summary Sheet '!A19</f>
        <v>4000</v>
      </c>
      <c r="B13" s="190" t="str">
        <f>'Summary Sheet '!B19</f>
        <v>Masonry</v>
      </c>
      <c r="C13" s="208" t="e">
        <f>'Summary Sheet '!#REF!</f>
        <v>#REF!</v>
      </c>
      <c r="D13" s="190"/>
      <c r="E13" s="187"/>
      <c r="F13" s="187"/>
      <c r="G13" s="191" t="e">
        <f t="shared" si="1"/>
        <v>#REF!</v>
      </c>
      <c r="I13" s="47" t="e">
        <f t="shared" si="0"/>
        <v>#REF!</v>
      </c>
    </row>
    <row r="14" spans="1:9" ht="17.25" customHeight="1">
      <c r="A14" s="189">
        <f>'Summary Sheet '!A21</f>
        <v>4500</v>
      </c>
      <c r="B14" s="190" t="str">
        <f>'Summary Sheet '!B21</f>
        <v>Masonry Restoration</v>
      </c>
      <c r="C14" s="208" t="e">
        <f>'Summary Sheet '!#REF!</f>
        <v>#REF!</v>
      </c>
      <c r="D14" s="190"/>
      <c r="E14" s="187"/>
      <c r="F14" s="187"/>
      <c r="G14" s="191" t="e">
        <f t="shared" si="1"/>
        <v>#REF!</v>
      </c>
      <c r="I14" s="47" t="e">
        <f t="shared" si="0"/>
        <v>#REF!</v>
      </c>
    </row>
    <row r="15" spans="1:9" ht="17.25" customHeight="1">
      <c r="A15" s="189">
        <f>'Summary Sheet '!A22</f>
        <v>5120</v>
      </c>
      <c r="B15" s="190" t="str">
        <f>'Summary Sheet '!B22</f>
        <v>Structural Steel</v>
      </c>
      <c r="C15" s="208" t="e">
        <f>'Summary Sheet '!#REF!</f>
        <v>#REF!</v>
      </c>
      <c r="D15" s="190"/>
      <c r="E15" s="187"/>
      <c r="F15" s="187"/>
      <c r="G15" s="191" t="e">
        <f t="shared" si="1"/>
        <v>#REF!</v>
      </c>
      <c r="I15" s="47" t="e">
        <f t="shared" si="0"/>
        <v>#REF!</v>
      </c>
    </row>
    <row r="16" spans="1:9" ht="17.25" customHeight="1">
      <c r="A16" s="189">
        <f>'Summary Sheet '!A24</f>
        <v>5500</v>
      </c>
      <c r="B16" s="190" t="str">
        <f>'Summary Sheet '!B24</f>
        <v>Miscellaneous Iron</v>
      </c>
      <c r="C16" s="208" t="e">
        <f>'Summary Sheet '!#REF!</f>
        <v>#REF!</v>
      </c>
      <c r="D16" s="190"/>
      <c r="E16" s="187"/>
      <c r="F16" s="187"/>
      <c r="G16" s="191" t="e">
        <f t="shared" si="1"/>
        <v>#REF!</v>
      </c>
      <c r="I16" s="47" t="e">
        <f t="shared" si="0"/>
        <v>#REF!</v>
      </c>
    </row>
    <row r="17" spans="1:9" ht="17.25" customHeight="1">
      <c r="A17" s="189" t="e">
        <f>'Summary Sheet '!#REF!</f>
        <v>#REF!</v>
      </c>
      <c r="B17" s="190" t="e">
        <f>'Summary Sheet '!#REF!</f>
        <v>#REF!</v>
      </c>
      <c r="C17" s="208" t="e">
        <f>'Summary Sheet '!#REF!</f>
        <v>#REF!</v>
      </c>
      <c r="D17" s="190"/>
      <c r="E17" s="187"/>
      <c r="F17" s="187"/>
      <c r="G17" s="191" t="e">
        <f t="shared" si="1"/>
        <v>#REF!</v>
      </c>
      <c r="I17" s="47" t="e">
        <f t="shared" si="0"/>
        <v>#REF!</v>
      </c>
    </row>
    <row r="18" spans="1:9" ht="17.25" customHeight="1">
      <c r="A18" s="189" t="e">
        <f>'Summary Sheet '!#REF!</f>
        <v>#REF!</v>
      </c>
      <c r="B18" s="190" t="e">
        <f>'Summary Sheet '!#REF!</f>
        <v>#REF!</v>
      </c>
      <c r="C18" s="208" t="e">
        <f>'Summary Sheet '!#REF!</f>
        <v>#REF!</v>
      </c>
      <c r="D18" s="190"/>
      <c r="E18" s="187"/>
      <c r="F18" s="187"/>
      <c r="G18" s="191" t="e">
        <f t="shared" si="1"/>
        <v>#REF!</v>
      </c>
      <c r="I18" s="47" t="e">
        <f t="shared" si="0"/>
        <v>#REF!</v>
      </c>
    </row>
    <row r="19" spans="1:9" ht="17.25" customHeight="1">
      <c r="A19" s="189">
        <f>'Summary Sheet '!A25</f>
        <v>6400</v>
      </c>
      <c r="B19" s="190" t="str">
        <f>'Summary Sheet '!B25</f>
        <v>Architectural Woodwork</v>
      </c>
      <c r="C19" s="208" t="e">
        <f>'Summary Sheet '!#REF!</f>
        <v>#REF!</v>
      </c>
      <c r="D19" s="190"/>
      <c r="E19" s="187"/>
      <c r="F19" s="187"/>
      <c r="G19" s="191" t="e">
        <f t="shared" si="1"/>
        <v>#REF!</v>
      </c>
      <c r="I19" s="47" t="e">
        <f t="shared" si="0"/>
        <v>#REF!</v>
      </c>
    </row>
    <row r="20" spans="1:9" ht="17.25" customHeight="1">
      <c r="A20" s="189" t="e">
        <f>'Summary Sheet '!#REF!</f>
        <v>#REF!</v>
      </c>
      <c r="B20" s="190" t="e">
        <f>'Summary Sheet '!#REF!</f>
        <v>#REF!</v>
      </c>
      <c r="C20" s="208" t="e">
        <f>'Summary Sheet '!#REF!</f>
        <v>#REF!</v>
      </c>
      <c r="D20" s="190"/>
      <c r="E20" s="187"/>
      <c r="F20" s="187"/>
      <c r="G20" s="191" t="e">
        <f t="shared" si="1"/>
        <v>#REF!</v>
      </c>
      <c r="I20" s="47" t="e">
        <f t="shared" si="0"/>
        <v>#REF!</v>
      </c>
    </row>
    <row r="21" spans="1:9" ht="17.25" customHeight="1">
      <c r="A21" s="189">
        <f>'Summary Sheet '!A28</f>
        <v>7500</v>
      </c>
      <c r="B21" s="190" t="str">
        <f>'Summary Sheet '!B28</f>
        <v>Roofing/Waterproofing</v>
      </c>
      <c r="C21" s="208" t="e">
        <f>'Summary Sheet '!#REF!</f>
        <v>#REF!</v>
      </c>
      <c r="D21" s="190"/>
      <c r="E21" s="187"/>
      <c r="F21" s="187"/>
      <c r="G21" s="191" t="e">
        <f t="shared" si="1"/>
        <v>#REF!</v>
      </c>
      <c r="I21" s="47" t="e">
        <f t="shared" si="0"/>
        <v>#REF!</v>
      </c>
    </row>
    <row r="22" spans="1:9" ht="17.25" customHeight="1">
      <c r="A22" s="189">
        <f>'Summary Sheet '!A29</f>
        <v>8110</v>
      </c>
      <c r="B22" s="190" t="str">
        <f>'Summary Sheet '!B29</f>
        <v>Doors, Frames &amp; Hardware</v>
      </c>
      <c r="C22" s="208" t="e">
        <f>'Summary Sheet '!#REF!</f>
        <v>#REF!</v>
      </c>
      <c r="D22" s="190"/>
      <c r="E22" s="187"/>
      <c r="F22" s="187"/>
      <c r="G22" s="191" t="e">
        <f t="shared" si="1"/>
        <v>#REF!</v>
      </c>
      <c r="I22" s="47" t="e">
        <f t="shared" si="0"/>
        <v>#REF!</v>
      </c>
    </row>
    <row r="23" spans="1:9" ht="17.25" customHeight="1">
      <c r="A23" s="189" t="e">
        <f>'Summary Sheet '!#REF!</f>
        <v>#REF!</v>
      </c>
      <c r="B23" s="190" t="e">
        <f>'Summary Sheet '!#REF!</f>
        <v>#REF!</v>
      </c>
      <c r="C23" s="208" t="e">
        <f>'Summary Sheet '!#REF!</f>
        <v>#REF!</v>
      </c>
      <c r="D23" s="190"/>
      <c r="E23" s="187"/>
      <c r="F23" s="187"/>
      <c r="G23" s="191" t="e">
        <f t="shared" si="1"/>
        <v>#REF!</v>
      </c>
      <c r="I23" s="47" t="e">
        <f t="shared" si="0"/>
        <v>#REF!</v>
      </c>
    </row>
    <row r="24" spans="1:9" ht="17.25" customHeight="1">
      <c r="A24" s="189">
        <f>'Summary Sheet '!A31</f>
        <v>8520</v>
      </c>
      <c r="B24" s="190" t="str">
        <f>'Summary Sheet '!B31</f>
        <v>Wood Windows</v>
      </c>
      <c r="C24" s="208" t="e">
        <f>'Summary Sheet '!#REF!</f>
        <v>#REF!</v>
      </c>
      <c r="D24" s="190"/>
      <c r="E24" s="187"/>
      <c r="F24" s="187"/>
      <c r="G24" s="191" t="e">
        <f t="shared" si="1"/>
        <v>#REF!</v>
      </c>
      <c r="I24" s="47" t="e">
        <f t="shared" si="0"/>
        <v>#REF!</v>
      </c>
    </row>
    <row r="25" spans="1:9" ht="17.25" customHeight="1">
      <c r="A25" s="189" t="e">
        <f>'Summary Sheet '!#REF!</f>
        <v>#REF!</v>
      </c>
      <c r="B25" s="190" t="e">
        <f>'Summary Sheet '!#REF!</f>
        <v>#REF!</v>
      </c>
      <c r="C25" s="208" t="e">
        <f>'Summary Sheet '!#REF!</f>
        <v>#REF!</v>
      </c>
      <c r="D25" s="190"/>
      <c r="E25" s="187"/>
      <c r="F25" s="187"/>
      <c r="G25" s="191" t="e">
        <f t="shared" si="1"/>
        <v>#REF!</v>
      </c>
      <c r="I25" s="47" t="e">
        <f t="shared" si="0"/>
        <v>#REF!</v>
      </c>
    </row>
    <row r="26" spans="1:9" ht="17.25" customHeight="1">
      <c r="A26" s="189">
        <f>'Summary Sheet '!A32</f>
        <v>8800</v>
      </c>
      <c r="B26" s="190" t="str">
        <f>'Summary Sheet '!B32</f>
        <v>Architectural Metal &amp; Glass</v>
      </c>
      <c r="C26" s="208" t="e">
        <f>'Summary Sheet '!#REF!</f>
        <v>#REF!</v>
      </c>
      <c r="D26" s="190"/>
      <c r="E26" s="187"/>
      <c r="F26" s="187"/>
      <c r="G26" s="191" t="e">
        <f t="shared" si="1"/>
        <v>#REF!</v>
      </c>
      <c r="I26" s="47" t="e">
        <f t="shared" si="0"/>
        <v>#REF!</v>
      </c>
    </row>
    <row r="27" spans="1:9" ht="17.25" customHeight="1">
      <c r="A27" s="189">
        <f>'Summary Sheet '!A33</f>
        <v>8810</v>
      </c>
      <c r="B27" s="190" t="str">
        <f>'Summary Sheet '!B33</f>
        <v>Window Film</v>
      </c>
      <c r="C27" s="208" t="e">
        <f>'Summary Sheet '!#REF!</f>
        <v>#REF!</v>
      </c>
      <c r="D27" s="190"/>
      <c r="E27" s="187"/>
      <c r="F27" s="187"/>
      <c r="G27" s="191" t="e">
        <f t="shared" si="1"/>
        <v>#REF!</v>
      </c>
      <c r="I27" s="47" t="e">
        <f t="shared" si="0"/>
        <v>#REF!</v>
      </c>
    </row>
    <row r="28" spans="1:9" ht="17.25" customHeight="1">
      <c r="A28" s="189">
        <f>'Summary Sheet '!A34</f>
        <v>8900</v>
      </c>
      <c r="B28" s="190" t="str">
        <f>'Summary Sheet '!B34</f>
        <v>Window Walls</v>
      </c>
      <c r="C28" s="208" t="e">
        <f>'Summary Sheet '!#REF!</f>
        <v>#REF!</v>
      </c>
      <c r="D28" s="190"/>
      <c r="E28" s="187"/>
      <c r="F28" s="187"/>
      <c r="G28" s="191" t="e">
        <f t="shared" si="1"/>
        <v>#REF!</v>
      </c>
      <c r="I28" s="47" t="e">
        <f t="shared" si="0"/>
        <v>#REF!</v>
      </c>
    </row>
    <row r="29" spans="1:9" ht="17.25" customHeight="1">
      <c r="A29" s="189">
        <f>'Summary Sheet '!A35</f>
        <v>9250</v>
      </c>
      <c r="B29" s="190" t="str">
        <f>'Summary Sheet '!B35</f>
        <v>Drywall &amp; Carpentry</v>
      </c>
      <c r="C29" s="208" t="e">
        <f>'Summary Sheet '!#REF!</f>
        <v>#REF!</v>
      </c>
      <c r="D29" s="190"/>
      <c r="E29" s="187"/>
      <c r="F29" s="187"/>
      <c r="G29" s="191" t="e">
        <f t="shared" si="1"/>
        <v>#REF!</v>
      </c>
      <c r="I29" s="47" t="e">
        <f t="shared" si="0"/>
        <v>#REF!</v>
      </c>
    </row>
    <row r="30" spans="1:9" ht="17.25" customHeight="1">
      <c r="A30" s="189" t="e">
        <f>'Summary Sheet '!#REF!</f>
        <v>#REF!</v>
      </c>
      <c r="B30" s="190" t="e">
        <f>'Summary Sheet '!#REF!</f>
        <v>#REF!</v>
      </c>
      <c r="C30" s="208" t="e">
        <f>'Summary Sheet '!#REF!</f>
        <v>#REF!</v>
      </c>
      <c r="D30" s="190"/>
      <c r="E30" s="187"/>
      <c r="F30" s="187"/>
      <c r="G30" s="191" t="e">
        <f t="shared" si="1"/>
        <v>#REF!</v>
      </c>
      <c r="I30" s="47" t="e">
        <f t="shared" si="0"/>
        <v>#REF!</v>
      </c>
    </row>
    <row r="31" spans="1:9" ht="17.25" customHeight="1">
      <c r="A31" s="189">
        <f>'Summary Sheet '!A36</f>
        <v>9300</v>
      </c>
      <c r="B31" s="190" t="str">
        <f>'Summary Sheet '!B36</f>
        <v>Stone &amp; Tile</v>
      </c>
      <c r="C31" s="208" t="e">
        <f>'Summary Sheet '!#REF!</f>
        <v>#REF!</v>
      </c>
      <c r="D31" s="190"/>
      <c r="E31" s="187"/>
      <c r="F31" s="187"/>
      <c r="G31" s="191" t="e">
        <f t="shared" si="1"/>
        <v>#REF!</v>
      </c>
      <c r="I31" s="47" t="e">
        <f t="shared" si="0"/>
        <v>#REF!</v>
      </c>
    </row>
    <row r="32" spans="1:9" ht="17.25" customHeight="1">
      <c r="A32" s="189" t="e">
        <f>'Summary Sheet '!#REF!</f>
        <v>#REF!</v>
      </c>
      <c r="B32" s="190" t="e">
        <f>'Summary Sheet '!#REF!</f>
        <v>#REF!</v>
      </c>
      <c r="C32" s="208" t="e">
        <f>'Summary Sheet '!#REF!</f>
        <v>#REF!</v>
      </c>
      <c r="D32" s="190"/>
      <c r="E32" s="187"/>
      <c r="F32" s="187"/>
      <c r="G32" s="191" t="e">
        <f t="shared" si="1"/>
        <v>#REF!</v>
      </c>
      <c r="I32" s="47" t="e">
        <f t="shared" si="0"/>
        <v>#REF!</v>
      </c>
    </row>
    <row r="33" spans="1:9" ht="17.25" customHeight="1">
      <c r="A33" s="189">
        <f>'Summary Sheet '!A37</f>
        <v>9550</v>
      </c>
      <c r="B33" s="190" t="str">
        <f>'Summary Sheet '!B37</f>
        <v>Wood Flooring</v>
      </c>
      <c r="C33" s="208" t="e">
        <f>'Summary Sheet '!#REF!</f>
        <v>#REF!</v>
      </c>
      <c r="D33" s="190"/>
      <c r="E33" s="187"/>
      <c r="F33" s="187"/>
      <c r="G33" s="191" t="e">
        <f t="shared" si="1"/>
        <v>#REF!</v>
      </c>
      <c r="I33" s="47" t="e">
        <f t="shared" si="0"/>
        <v>#REF!</v>
      </c>
    </row>
    <row r="34" spans="1:9" ht="17.25" customHeight="1">
      <c r="A34" s="189" t="e">
        <f>'Summary Sheet '!#REF!</f>
        <v>#REF!</v>
      </c>
      <c r="B34" s="190" t="e">
        <f>'Summary Sheet '!#REF!</f>
        <v>#REF!</v>
      </c>
      <c r="C34" s="208" t="e">
        <f>'Summary Sheet '!#REF!</f>
        <v>#REF!</v>
      </c>
      <c r="D34" s="190"/>
      <c r="E34" s="187"/>
      <c r="F34" s="187"/>
      <c r="G34" s="191" t="e">
        <f t="shared" si="1"/>
        <v>#REF!</v>
      </c>
      <c r="I34" s="47" t="e">
        <f t="shared" si="0"/>
        <v>#REF!</v>
      </c>
    </row>
    <row r="35" spans="1:9" ht="17.25" customHeight="1">
      <c r="A35" s="189" t="e">
        <f>'Summary Sheet '!#REF!</f>
        <v>#REF!</v>
      </c>
      <c r="B35" s="190" t="e">
        <f>'Summary Sheet '!#REF!</f>
        <v>#REF!</v>
      </c>
      <c r="C35" s="208" t="e">
        <f>'Summary Sheet '!#REF!</f>
        <v>#REF!</v>
      </c>
      <c r="D35" s="190"/>
      <c r="E35" s="187"/>
      <c r="F35" s="187"/>
      <c r="G35" s="191" t="e">
        <f t="shared" si="1"/>
        <v>#REF!</v>
      </c>
      <c r="I35" s="47" t="e">
        <f t="shared" si="0"/>
        <v>#REF!</v>
      </c>
    </row>
    <row r="36" spans="1:9" ht="17.25" customHeight="1">
      <c r="A36" s="189" t="e">
        <f>'Summary Sheet '!#REF!</f>
        <v>#REF!</v>
      </c>
      <c r="B36" s="190" t="e">
        <f>'Summary Sheet '!#REF!</f>
        <v>#REF!</v>
      </c>
      <c r="C36" s="208" t="e">
        <f>'Summary Sheet '!#REF!</f>
        <v>#REF!</v>
      </c>
      <c r="D36" s="190"/>
      <c r="E36" s="187"/>
      <c r="F36" s="187"/>
      <c r="G36" s="191" t="e">
        <f t="shared" si="1"/>
        <v>#REF!</v>
      </c>
      <c r="I36" s="47" t="e">
        <f t="shared" si="0"/>
        <v>#REF!</v>
      </c>
    </row>
    <row r="37" spans="1:9" ht="17.25" customHeight="1">
      <c r="A37" s="189">
        <f>'Summary Sheet '!A40</f>
        <v>9900</v>
      </c>
      <c r="B37" s="190" t="str">
        <f>'Summary Sheet '!B40</f>
        <v>Painting</v>
      </c>
      <c r="C37" s="208" t="e">
        <f>'Summary Sheet '!#REF!</f>
        <v>#REF!</v>
      </c>
      <c r="D37" s="190"/>
      <c r="E37" s="187"/>
      <c r="F37" s="187"/>
      <c r="G37" s="191" t="e">
        <f t="shared" si="1"/>
        <v>#REF!</v>
      </c>
      <c r="I37" s="47" t="e">
        <f t="shared" si="0"/>
        <v>#REF!</v>
      </c>
    </row>
    <row r="38" spans="1:9" ht="17.25" customHeight="1">
      <c r="A38" s="189" t="e">
        <f>'Summary Sheet '!#REF!</f>
        <v>#REF!</v>
      </c>
      <c r="B38" s="190" t="e">
        <f>'Summary Sheet '!#REF!</f>
        <v>#REF!</v>
      </c>
      <c r="C38" s="208" t="e">
        <f>'Summary Sheet '!#REF!</f>
        <v>#REF!</v>
      </c>
      <c r="D38" s="190"/>
      <c r="E38" s="187"/>
      <c r="F38" s="187"/>
      <c r="G38" s="191" t="e">
        <f t="shared" si="1"/>
        <v>#REF!</v>
      </c>
      <c r="I38" s="47" t="e">
        <f t="shared" si="0"/>
        <v>#REF!</v>
      </c>
    </row>
    <row r="39" spans="1:9" ht="17.25" customHeight="1">
      <c r="A39" s="189" t="e">
        <f>'Summary Sheet '!#REF!</f>
        <v>#REF!</v>
      </c>
      <c r="B39" s="190" t="e">
        <f>'Summary Sheet '!#REF!</f>
        <v>#REF!</v>
      </c>
      <c r="C39" s="208" t="e">
        <f>'Summary Sheet '!#REF!</f>
        <v>#REF!</v>
      </c>
      <c r="D39" s="190"/>
      <c r="E39" s="187"/>
      <c r="F39" s="187"/>
      <c r="G39" s="191" t="e">
        <f t="shared" si="1"/>
        <v>#REF!</v>
      </c>
      <c r="I39" s="47" t="e">
        <f t="shared" si="0"/>
        <v>#REF!</v>
      </c>
    </row>
    <row r="40" spans="1:9" ht="17.25" customHeight="1">
      <c r="A40" s="189" t="e">
        <f>'Summary Sheet '!#REF!</f>
        <v>#REF!</v>
      </c>
      <c r="B40" s="190" t="e">
        <f>'Summary Sheet '!#REF!</f>
        <v>#REF!</v>
      </c>
      <c r="C40" s="208" t="e">
        <f>'Summary Sheet '!#REF!</f>
        <v>#REF!</v>
      </c>
      <c r="D40" s="190"/>
      <c r="E40" s="187"/>
      <c r="F40" s="187"/>
      <c r="G40" s="191" t="e">
        <f t="shared" si="1"/>
        <v>#REF!</v>
      </c>
      <c r="I40" s="47" t="e">
        <f t="shared" si="0"/>
        <v>#REF!</v>
      </c>
    </row>
    <row r="41" spans="1:9" ht="17.25" customHeight="1">
      <c r="A41" s="189" t="e">
        <f>'Summary Sheet '!#REF!</f>
        <v>#REF!</v>
      </c>
      <c r="B41" s="190" t="e">
        <f>'Summary Sheet '!#REF!</f>
        <v>#REF!</v>
      </c>
      <c r="C41" s="208" t="e">
        <f>'Summary Sheet '!#REF!</f>
        <v>#REF!</v>
      </c>
      <c r="D41" s="190"/>
      <c r="E41" s="187"/>
      <c r="F41" s="187"/>
      <c r="G41" s="191" t="e">
        <f t="shared" si="1"/>
        <v>#REF!</v>
      </c>
      <c r="I41" s="47" t="e">
        <f t="shared" si="0"/>
        <v>#REF!</v>
      </c>
    </row>
    <row r="42" spans="1:9" ht="17.25" customHeight="1">
      <c r="A42" s="189">
        <f>'Summary Sheet '!A41</f>
        <v>10800</v>
      </c>
      <c r="B42" s="190" t="str">
        <f>'Summary Sheet '!B41</f>
        <v>Toilet Accessories</v>
      </c>
      <c r="C42" s="208" t="e">
        <f>'Summary Sheet '!#REF!</f>
        <v>#REF!</v>
      </c>
      <c r="D42" s="190"/>
      <c r="E42" s="187"/>
      <c r="F42" s="187"/>
      <c r="G42" s="191" t="e">
        <f t="shared" si="1"/>
        <v>#REF!</v>
      </c>
      <c r="I42" s="47" t="e">
        <f t="shared" si="0"/>
        <v>#REF!</v>
      </c>
    </row>
    <row r="43" spans="1:9" ht="17.25" customHeight="1">
      <c r="A43" s="189" t="e">
        <f>'Summary Sheet '!#REF!</f>
        <v>#REF!</v>
      </c>
      <c r="B43" s="190" t="e">
        <f>'Summary Sheet '!#REF!</f>
        <v>#REF!</v>
      </c>
      <c r="C43" s="208" t="e">
        <f>'Summary Sheet '!#REF!</f>
        <v>#REF!</v>
      </c>
      <c r="D43" s="190"/>
      <c r="E43" s="187"/>
      <c r="F43" s="187"/>
      <c r="G43" s="191" t="e">
        <f t="shared" si="1"/>
        <v>#REF!</v>
      </c>
      <c r="I43" s="47" t="e">
        <f t="shared" si="0"/>
        <v>#REF!</v>
      </c>
    </row>
    <row r="44" spans="1:9" ht="17.25" customHeight="1">
      <c r="A44" s="189" t="e">
        <f>'Summary Sheet '!#REF!</f>
        <v>#REF!</v>
      </c>
      <c r="B44" s="190" t="e">
        <f>'Summary Sheet '!#REF!</f>
        <v>#REF!</v>
      </c>
      <c r="C44" s="208" t="e">
        <f>'Summary Sheet '!#REF!</f>
        <v>#REF!</v>
      </c>
      <c r="D44" s="190"/>
      <c r="E44" s="187"/>
      <c r="F44" s="187"/>
      <c r="G44" s="191" t="e">
        <f t="shared" si="1"/>
        <v>#REF!</v>
      </c>
      <c r="I44" s="47" t="e">
        <f t="shared" si="0"/>
        <v>#REF!</v>
      </c>
    </row>
    <row r="45" spans="1:9" ht="17.25" customHeight="1">
      <c r="A45" s="189" t="e">
        <f>'Summary Sheet '!#REF!</f>
        <v>#REF!</v>
      </c>
      <c r="B45" s="190" t="e">
        <f>'Summary Sheet '!#REF!</f>
        <v>#REF!</v>
      </c>
      <c r="C45" s="208" t="e">
        <f>'Summary Sheet '!#REF!</f>
        <v>#REF!</v>
      </c>
      <c r="D45" s="190"/>
      <c r="E45" s="187"/>
      <c r="F45" s="187"/>
      <c r="G45" s="191" t="e">
        <f t="shared" si="1"/>
        <v>#REF!</v>
      </c>
      <c r="I45" s="47" t="e">
        <f t="shared" si="0"/>
        <v>#REF!</v>
      </c>
    </row>
    <row r="46" spans="1:9" ht="17.25" customHeight="1">
      <c r="A46" s="189" t="e">
        <f>'Summary Sheet '!#REF!</f>
        <v>#REF!</v>
      </c>
      <c r="B46" s="190" t="e">
        <f>'Summary Sheet '!#REF!</f>
        <v>#REF!</v>
      </c>
      <c r="C46" s="208" t="e">
        <f>'Summary Sheet '!#REF!</f>
        <v>#REF!</v>
      </c>
      <c r="D46" s="190"/>
      <c r="E46" s="187"/>
      <c r="F46" s="187"/>
      <c r="G46" s="191" t="e">
        <f t="shared" si="1"/>
        <v>#REF!</v>
      </c>
      <c r="I46" s="47" t="e">
        <f t="shared" si="0"/>
        <v>#REF!</v>
      </c>
    </row>
    <row r="47" spans="1:9" ht="17.25" customHeight="1">
      <c r="A47" s="189" t="e">
        <f>'Summary Sheet '!#REF!</f>
        <v>#REF!</v>
      </c>
      <c r="B47" s="190" t="e">
        <f>'Summary Sheet '!#REF!</f>
        <v>#REF!</v>
      </c>
      <c r="C47" s="208" t="e">
        <f>'Summary Sheet '!#REF!</f>
        <v>#REF!</v>
      </c>
      <c r="D47" s="190"/>
      <c r="E47" s="187"/>
      <c r="F47" s="187"/>
      <c r="G47" s="191" t="e">
        <f t="shared" si="1"/>
        <v>#REF!</v>
      </c>
      <c r="I47" s="47" t="e">
        <f t="shared" si="0"/>
        <v>#REF!</v>
      </c>
    </row>
    <row r="48" spans="1:9" ht="17.25" customHeight="1">
      <c r="A48" s="189" t="e">
        <f>'Summary Sheet '!#REF!</f>
        <v>#REF!</v>
      </c>
      <c r="B48" s="190" t="e">
        <f>'Summary Sheet '!#REF!</f>
        <v>#REF!</v>
      </c>
      <c r="C48" s="208" t="e">
        <f>'Summary Sheet '!#REF!</f>
        <v>#REF!</v>
      </c>
      <c r="D48" s="190"/>
      <c r="E48" s="187"/>
      <c r="F48" s="187"/>
      <c r="G48" s="191" t="e">
        <f t="shared" si="1"/>
        <v>#REF!</v>
      </c>
      <c r="I48" s="47" t="e">
        <f t="shared" si="0"/>
        <v>#REF!</v>
      </c>
    </row>
    <row r="49" spans="1:9" ht="17.25" customHeight="1">
      <c r="A49" s="189">
        <f>'Summary Sheet '!A42</f>
        <v>11450</v>
      </c>
      <c r="B49" s="190" t="str">
        <f>'Summary Sheet '!B42</f>
        <v xml:space="preserve">Appliances </v>
      </c>
      <c r="C49" s="208" t="e">
        <f>'Summary Sheet '!#REF!</f>
        <v>#REF!</v>
      </c>
      <c r="D49" s="190"/>
      <c r="E49" s="187"/>
      <c r="F49" s="187"/>
      <c r="G49" s="191" t="e">
        <f t="shared" si="1"/>
        <v>#REF!</v>
      </c>
      <c r="I49" s="47" t="e">
        <f t="shared" si="0"/>
        <v>#REF!</v>
      </c>
    </row>
    <row r="50" spans="1:9" ht="17.25" customHeight="1">
      <c r="A50" s="189">
        <f>'Summary Sheet '!A44</f>
        <v>12500</v>
      </c>
      <c r="B50" s="190" t="str">
        <f>'Summary Sheet '!B44</f>
        <v>Window Treatment</v>
      </c>
      <c r="C50" s="208" t="e">
        <f>'Summary Sheet '!#REF!</f>
        <v>#REF!</v>
      </c>
      <c r="D50" s="190"/>
      <c r="E50" s="187"/>
      <c r="F50" s="187"/>
      <c r="G50" s="191" t="e">
        <f t="shared" si="1"/>
        <v>#REF!</v>
      </c>
      <c r="I50" s="47" t="e">
        <f t="shared" si="0"/>
        <v>#REF!</v>
      </c>
    </row>
    <row r="51" spans="1:9" ht="17.25" customHeight="1">
      <c r="A51" s="189">
        <f>'Summary Sheet '!A47</f>
        <v>14200</v>
      </c>
      <c r="B51" s="190" t="str">
        <f>'Summary Sheet '!B47</f>
        <v>Elevator Work</v>
      </c>
      <c r="C51" s="208" t="e">
        <f>'Summary Sheet '!#REF!</f>
        <v>#REF!</v>
      </c>
      <c r="D51" s="190"/>
      <c r="E51" s="187"/>
      <c r="F51" s="187"/>
      <c r="G51" s="191" t="e">
        <f t="shared" si="1"/>
        <v>#REF!</v>
      </c>
      <c r="I51" s="47" t="e">
        <f t="shared" si="0"/>
        <v>#REF!</v>
      </c>
    </row>
    <row r="52" spans="1:9" ht="17.25" customHeight="1">
      <c r="A52" s="189" t="e">
        <f>'Summary Sheet '!#REF!</f>
        <v>#REF!</v>
      </c>
      <c r="B52" s="190" t="e">
        <f>'Summary Sheet '!#REF!</f>
        <v>#REF!</v>
      </c>
      <c r="C52" s="208" t="e">
        <f>'Summary Sheet '!#REF!</f>
        <v>#REF!</v>
      </c>
      <c r="D52" s="190"/>
      <c r="E52" s="187"/>
      <c r="F52" s="187"/>
      <c r="G52" s="191" t="e">
        <f t="shared" si="1"/>
        <v>#REF!</v>
      </c>
      <c r="I52" s="47" t="e">
        <f t="shared" si="0"/>
        <v>#REF!</v>
      </c>
    </row>
    <row r="53" spans="1:9" ht="17.25" customHeight="1">
      <c r="A53" s="189">
        <f>'Summary Sheet '!A48</f>
        <v>15600</v>
      </c>
      <c r="B53" s="190" t="str">
        <f>'Summary Sheet '!B48</f>
        <v>HVAC</v>
      </c>
      <c r="C53" s="208" t="e">
        <f>'Summary Sheet '!#REF!</f>
        <v>#REF!</v>
      </c>
      <c r="D53" s="190"/>
      <c r="E53" s="187"/>
      <c r="F53" s="187"/>
      <c r="G53" s="191" t="e">
        <f t="shared" si="1"/>
        <v>#REF!</v>
      </c>
      <c r="I53" s="47" t="e">
        <f t="shared" si="0"/>
        <v>#REF!</v>
      </c>
    </row>
    <row r="54" spans="1:9" ht="17.25" customHeight="1">
      <c r="A54" s="189" t="e">
        <f>'Summary Sheet '!#REF!</f>
        <v>#REF!</v>
      </c>
      <c r="B54" s="190" t="e">
        <f>'Summary Sheet '!#REF!</f>
        <v>#REF!</v>
      </c>
      <c r="C54" s="208" t="e">
        <f>'Summary Sheet '!#REF!</f>
        <v>#REF!</v>
      </c>
      <c r="D54" s="190"/>
      <c r="E54" s="187"/>
      <c r="F54" s="187"/>
      <c r="G54" s="191" t="e">
        <f t="shared" si="1"/>
        <v>#REF!</v>
      </c>
      <c r="I54" s="47" t="e">
        <f t="shared" si="0"/>
        <v>#REF!</v>
      </c>
    </row>
    <row r="55" spans="1:9" ht="17.25" customHeight="1">
      <c r="A55" s="189">
        <f>'Summary Sheet '!A49</f>
        <v>15400</v>
      </c>
      <c r="B55" s="190" t="str">
        <f>'Summary Sheet '!B49</f>
        <v>Plumbing</v>
      </c>
      <c r="C55" s="208" t="e">
        <f>'Summary Sheet '!#REF!</f>
        <v>#REF!</v>
      </c>
      <c r="D55" s="190"/>
      <c r="E55" s="187"/>
      <c r="F55" s="187"/>
      <c r="G55" s="191" t="e">
        <f t="shared" si="1"/>
        <v>#REF!</v>
      </c>
      <c r="I55" s="47" t="e">
        <f t="shared" si="0"/>
        <v>#REF!</v>
      </c>
    </row>
    <row r="56" spans="1:9" ht="17.25" customHeight="1">
      <c r="A56" s="189">
        <f>'Summary Sheet '!A51</f>
        <v>15500</v>
      </c>
      <c r="B56" s="190" t="str">
        <f>'Summary Sheet '!B51</f>
        <v>Sprinklers</v>
      </c>
      <c r="C56" s="208" t="e">
        <f>'Summary Sheet '!#REF!</f>
        <v>#REF!</v>
      </c>
      <c r="D56" s="190"/>
      <c r="E56" s="187"/>
      <c r="F56" s="187"/>
      <c r="G56" s="191" t="e">
        <f t="shared" si="1"/>
        <v>#REF!</v>
      </c>
      <c r="I56" s="47" t="e">
        <f t="shared" si="0"/>
        <v>#REF!</v>
      </c>
    </row>
    <row r="57" spans="1:9" ht="17.25" customHeight="1">
      <c r="A57" s="189">
        <f>'Summary Sheet '!A54</f>
        <v>16500</v>
      </c>
      <c r="B57" s="190" t="str">
        <f>'Summary Sheet '!B54</f>
        <v>Light Fixtures</v>
      </c>
      <c r="C57" s="208" t="e">
        <f>'Summary Sheet '!#REF!</f>
        <v>#REF!</v>
      </c>
      <c r="D57" s="190"/>
      <c r="E57" s="187"/>
      <c r="F57" s="187"/>
      <c r="G57" s="191" t="e">
        <f t="shared" si="1"/>
        <v>#REF!</v>
      </c>
      <c r="I57" s="47" t="e">
        <f t="shared" si="0"/>
        <v>#REF!</v>
      </c>
    </row>
    <row r="58" spans="1:9" ht="17.25" customHeight="1">
      <c r="A58" s="189">
        <f>'Summary Sheet '!A52</f>
        <v>16000</v>
      </c>
      <c r="B58" s="190" t="str">
        <f>'Summary Sheet '!B52</f>
        <v>Electric</v>
      </c>
      <c r="C58" s="208" t="e">
        <f>'Summary Sheet '!#REF!</f>
        <v>#REF!</v>
      </c>
      <c r="D58" s="190"/>
      <c r="E58" s="187"/>
      <c r="F58" s="187"/>
      <c r="G58" s="191" t="e">
        <f t="shared" si="1"/>
        <v>#REF!</v>
      </c>
      <c r="I58" s="47" t="e">
        <f t="shared" si="0"/>
        <v>#REF!</v>
      </c>
    </row>
    <row r="59" spans="1:9" ht="17.25" customHeight="1">
      <c r="A59" s="189">
        <f>'Summary Sheet '!A55</f>
        <v>16300</v>
      </c>
      <c r="B59" s="190" t="str">
        <f>'Summary Sheet '!B55</f>
        <v>Communications Cabling</v>
      </c>
      <c r="C59" s="208" t="e">
        <f>'Summary Sheet '!#REF!</f>
        <v>#REF!</v>
      </c>
      <c r="D59" s="190"/>
      <c r="E59" s="187"/>
      <c r="F59" s="187"/>
      <c r="G59" s="191" t="e">
        <f t="shared" si="1"/>
        <v>#REF!</v>
      </c>
      <c r="I59" s="47" t="e">
        <f t="shared" si="0"/>
        <v>#REF!</v>
      </c>
    </row>
    <row r="60" spans="1:9" ht="17.25" customHeight="1">
      <c r="A60" s="189" t="e">
        <f>'Summary Sheet '!#REF!</f>
        <v>#REF!</v>
      </c>
      <c r="B60" s="190" t="e">
        <f>'Summary Sheet '!#REF!</f>
        <v>#REF!</v>
      </c>
      <c r="C60" s="208" t="e">
        <f>'Summary Sheet '!#REF!</f>
        <v>#REF!</v>
      </c>
      <c r="D60" s="190"/>
      <c r="E60" s="187"/>
      <c r="F60" s="187"/>
      <c r="G60" s="191" t="e">
        <f t="shared" si="1"/>
        <v>#REF!</v>
      </c>
      <c r="I60" s="47" t="e">
        <f t="shared" si="0"/>
        <v>#REF!</v>
      </c>
    </row>
    <row r="61" spans="1:9" ht="17.25" customHeight="1">
      <c r="A61" s="189">
        <f>'Summary Sheet '!A56</f>
        <v>17300</v>
      </c>
      <c r="B61" s="190" t="str">
        <f>'Summary Sheet '!B56</f>
        <v>Security Systems</v>
      </c>
      <c r="C61" s="208" t="e">
        <f>'Summary Sheet '!#REF!</f>
        <v>#REF!</v>
      </c>
      <c r="D61" s="190"/>
      <c r="E61" s="187"/>
      <c r="F61" s="187"/>
      <c r="G61" s="191" t="e">
        <f t="shared" si="1"/>
        <v>#REF!</v>
      </c>
      <c r="I61" s="47" t="e">
        <f t="shared" si="0"/>
        <v>#REF!</v>
      </c>
    </row>
    <row r="62" spans="1:9" ht="17.25" customHeight="1">
      <c r="A62" s="189" t="e">
        <f>'Summary Sheet '!#REF!</f>
        <v>#REF!</v>
      </c>
      <c r="B62" s="190" t="e">
        <f>'Summary Sheet '!#REF!</f>
        <v>#REF!</v>
      </c>
      <c r="C62" s="208" t="e">
        <f>'Summary Sheet '!#REF!</f>
        <v>#REF!</v>
      </c>
      <c r="D62" s="190"/>
      <c r="E62" s="187"/>
      <c r="F62" s="187"/>
      <c r="G62" s="191" t="e">
        <f t="shared" si="1"/>
        <v>#REF!</v>
      </c>
      <c r="I62" s="47" t="e">
        <f t="shared" si="0"/>
        <v>#REF!</v>
      </c>
    </row>
    <row r="63" spans="1:9" ht="17.25" customHeight="1">
      <c r="A63" s="189" t="e">
        <f>'Summary Sheet '!#REF!</f>
        <v>#REF!</v>
      </c>
      <c r="B63" s="190" t="e">
        <f>'Summary Sheet '!#REF!</f>
        <v>#REF!</v>
      </c>
      <c r="C63" s="208" t="e">
        <f>'Summary Sheet '!#REF!</f>
        <v>#REF!</v>
      </c>
      <c r="D63" s="190"/>
      <c r="E63" s="187"/>
      <c r="F63" s="187"/>
      <c r="G63" s="191" t="e">
        <f t="shared" si="1"/>
        <v>#REF!</v>
      </c>
      <c r="I63" s="47" t="e">
        <f t="shared" si="0"/>
        <v>#REF!</v>
      </c>
    </row>
    <row r="64" spans="1:9" ht="17.25" customHeight="1">
      <c r="A64" s="189" t="e">
        <f>'Summary Sheet '!#REF!</f>
        <v>#REF!</v>
      </c>
      <c r="B64" s="190" t="e">
        <f>'Summary Sheet '!#REF!</f>
        <v>#REF!</v>
      </c>
      <c r="C64" s="208" t="e">
        <f>'Summary Sheet '!#REF!</f>
        <v>#REF!</v>
      </c>
      <c r="D64" s="190"/>
      <c r="E64" s="187"/>
      <c r="F64" s="187"/>
      <c r="G64" s="191" t="e">
        <f t="shared" si="1"/>
        <v>#REF!</v>
      </c>
      <c r="I64" s="47" t="e">
        <f t="shared" si="0"/>
        <v>#REF!</v>
      </c>
    </row>
    <row r="65" spans="1:9" ht="17.25" customHeight="1">
      <c r="A65" s="189" t="e">
        <f>'Summary Sheet '!#REF!</f>
        <v>#REF!</v>
      </c>
      <c r="B65" s="190" t="e">
        <f>'Summary Sheet '!#REF!</f>
        <v>#REF!</v>
      </c>
      <c r="C65" s="208" t="e">
        <f>'Summary Sheet '!#REF!</f>
        <v>#REF!</v>
      </c>
      <c r="D65" s="190"/>
      <c r="E65" s="187"/>
      <c r="F65" s="187"/>
      <c r="G65" s="191" t="e">
        <f t="shared" si="1"/>
        <v>#REF!</v>
      </c>
      <c r="I65" s="47" t="e">
        <f t="shared" si="0"/>
        <v>#REF!</v>
      </c>
    </row>
    <row r="66" spans="1:9" ht="17.25" customHeight="1">
      <c r="A66" s="189"/>
      <c r="B66" s="186" t="e">
        <f>'Summary Sheet '!#REF!</f>
        <v>#REF!</v>
      </c>
      <c r="C66" s="208" t="e">
        <f>'Summary Sheet '!#REF!</f>
        <v>#REF!</v>
      </c>
      <c r="D66" s="190"/>
      <c r="E66" s="187"/>
      <c r="F66" s="187"/>
      <c r="G66" s="191" t="e">
        <f t="shared" si="1"/>
        <v>#REF!</v>
      </c>
      <c r="I66" s="47" t="e">
        <f t="shared" si="0"/>
        <v>#REF!</v>
      </c>
    </row>
    <row r="67" spans="1:9" ht="17.25" customHeight="1">
      <c r="A67" s="189"/>
      <c r="B67" s="190" t="e">
        <f>'Summary Sheet '!#REF!</f>
        <v>#REF!</v>
      </c>
      <c r="C67" s="208" t="e">
        <f>'Summary Sheet '!#REF!</f>
        <v>#REF!</v>
      </c>
      <c r="D67" s="190"/>
      <c r="E67" s="187"/>
      <c r="F67" s="187"/>
      <c r="G67" s="191" t="e">
        <f t="shared" si="1"/>
        <v>#REF!</v>
      </c>
      <c r="I67" s="47" t="e">
        <f t="shared" si="0"/>
        <v>#REF!</v>
      </c>
    </row>
    <row r="68" spans="1:9" ht="17.25" customHeight="1">
      <c r="A68" s="189"/>
      <c r="B68" s="190" t="e">
        <f>'Summary Sheet '!#REF!</f>
        <v>#REF!</v>
      </c>
      <c r="C68" s="208" t="e">
        <f>'Summary Sheet '!#REF!</f>
        <v>#REF!</v>
      </c>
      <c r="D68" s="190"/>
      <c r="E68" s="187"/>
      <c r="F68" s="187"/>
      <c r="G68" s="191" t="e">
        <f t="shared" si="1"/>
        <v>#REF!</v>
      </c>
      <c r="I68" s="47" t="e">
        <f t="shared" si="0"/>
        <v>#REF!</v>
      </c>
    </row>
    <row r="69" spans="1:9" ht="17.25" customHeight="1">
      <c r="A69" s="189"/>
      <c r="B69" s="190" t="e">
        <f>'Summary Sheet '!#REF!</f>
        <v>#REF!</v>
      </c>
      <c r="C69" s="208" t="e">
        <f>'Summary Sheet '!#REF!</f>
        <v>#REF!</v>
      </c>
      <c r="D69" s="190"/>
      <c r="E69" s="187"/>
      <c r="F69" s="187"/>
      <c r="G69" s="191" t="e">
        <f t="shared" si="1"/>
        <v>#REF!</v>
      </c>
      <c r="I69" s="47" t="e">
        <f t="shared" si="0"/>
        <v>#REF!</v>
      </c>
    </row>
    <row r="70" spans="1:9" ht="17.25" customHeight="1">
      <c r="A70" s="189"/>
      <c r="B70" s="190" t="e">
        <f>'Summary Sheet '!#REF!</f>
        <v>#REF!</v>
      </c>
      <c r="C70" s="208" t="e">
        <f>'Summary Sheet '!#REF!</f>
        <v>#REF!</v>
      </c>
      <c r="D70" s="190"/>
      <c r="E70" s="187"/>
      <c r="F70" s="187"/>
      <c r="G70" s="191" t="e">
        <f t="shared" si="1"/>
        <v>#REF!</v>
      </c>
      <c r="I70" s="47" t="e">
        <f t="shared" si="0"/>
        <v>#REF!</v>
      </c>
    </row>
    <row r="71" spans="1:9" ht="17.25" customHeight="1">
      <c r="A71" s="189"/>
      <c r="B71" s="190" t="e">
        <f>'Summary Sheet '!#REF!</f>
        <v>#REF!</v>
      </c>
      <c r="C71" s="208" t="e">
        <f>'Summary Sheet '!#REF!</f>
        <v>#REF!</v>
      </c>
      <c r="D71" s="190"/>
      <c r="E71" s="187"/>
      <c r="F71" s="187"/>
      <c r="G71" s="191" t="e">
        <f t="shared" si="1"/>
        <v>#REF!</v>
      </c>
      <c r="I71" s="47" t="e">
        <f t="shared" si="0"/>
        <v>#REF!</v>
      </c>
    </row>
    <row r="72" spans="1:9" ht="17.25" customHeight="1">
      <c r="A72" s="189"/>
      <c r="B72" s="190" t="e">
        <f>'Summary Sheet '!#REF!</f>
        <v>#REF!</v>
      </c>
      <c r="C72" s="208" t="e">
        <f>'Summary Sheet '!#REF!</f>
        <v>#REF!</v>
      </c>
      <c r="D72" s="190"/>
      <c r="E72" s="187"/>
      <c r="F72" s="187"/>
      <c r="G72" s="191" t="e">
        <f t="shared" si="1"/>
        <v>#REF!</v>
      </c>
      <c r="I72" s="47" t="e">
        <f t="shared" si="0"/>
        <v>#REF!</v>
      </c>
    </row>
    <row r="73" spans="1:9" ht="17.25" customHeight="1">
      <c r="A73" s="189"/>
      <c r="B73" s="190" t="e">
        <f>'Summary Sheet '!#REF!</f>
        <v>#REF!</v>
      </c>
      <c r="C73" s="208" t="e">
        <f>'Summary Sheet '!#REF!</f>
        <v>#REF!</v>
      </c>
      <c r="D73" s="190"/>
      <c r="E73" s="187"/>
      <c r="F73" s="187"/>
      <c r="G73" s="191" t="e">
        <f t="shared" si="1"/>
        <v>#REF!</v>
      </c>
      <c r="I73" s="47" t="e">
        <f t="shared" si="0"/>
        <v>#REF!</v>
      </c>
    </row>
    <row r="74" spans="1:9" ht="17.25" customHeight="1">
      <c r="A74" s="188"/>
      <c r="B74" s="187"/>
      <c r="C74" s="209"/>
      <c r="D74" s="192"/>
      <c r="E74" s="187"/>
      <c r="F74" s="187"/>
      <c r="G74" s="191"/>
      <c r="I74" s="47">
        <f t="shared" ref="I74:I83" si="2">ABS(C74+D74+G74)</f>
        <v>0</v>
      </c>
    </row>
    <row r="75" spans="1:9" ht="17.25" customHeight="1">
      <c r="A75" s="188"/>
      <c r="B75" s="187"/>
      <c r="C75" s="208"/>
      <c r="D75" s="190"/>
      <c r="E75" s="187"/>
      <c r="F75" s="187"/>
      <c r="G75" s="191"/>
      <c r="I75" s="47">
        <f t="shared" si="2"/>
        <v>0</v>
      </c>
    </row>
    <row r="76" spans="1:9" ht="17.25" customHeight="1">
      <c r="A76" s="188"/>
      <c r="B76" s="187"/>
      <c r="C76" s="209"/>
      <c r="D76" s="192"/>
      <c r="E76" s="187"/>
      <c r="F76" s="187"/>
      <c r="G76" s="191"/>
      <c r="I76" s="47">
        <f t="shared" si="2"/>
        <v>0</v>
      </c>
    </row>
    <row r="77" spans="1:9" ht="17.25" customHeight="1" thickBot="1">
      <c r="A77" s="193"/>
      <c r="B77" s="194" t="s">
        <v>125</v>
      </c>
      <c r="C77" s="210" t="e">
        <f>SUM(C9:C76)</f>
        <v>#REF!</v>
      </c>
      <c r="D77" s="210">
        <f>SUM(D9:D76)</f>
        <v>0</v>
      </c>
      <c r="E77" s="210"/>
      <c r="F77" s="210"/>
      <c r="G77" s="210" t="e">
        <f>SUM(G9:G76)</f>
        <v>#REF!</v>
      </c>
      <c r="I77" s="47" t="e">
        <f t="shared" si="2"/>
        <v>#REF!</v>
      </c>
    </row>
    <row r="78" spans="1:9" ht="18" customHeight="1" thickBot="1">
      <c r="C78" s="184"/>
      <c r="D78" s="212"/>
      <c r="G78" s="199"/>
      <c r="I78" s="47" t="e">
        <f>I83</f>
        <v>#REF!</v>
      </c>
    </row>
    <row r="79" spans="1:9" ht="18" customHeight="1">
      <c r="B79" s="200" t="s">
        <v>126</v>
      </c>
      <c r="C79" s="211" t="e">
        <f>C77*RFE!F20</f>
        <v>#REF!</v>
      </c>
      <c r="D79" s="196"/>
      <c r="E79" s="185"/>
      <c r="F79" s="185"/>
      <c r="G79" s="201"/>
      <c r="I79" s="47" t="e">
        <f t="shared" si="2"/>
        <v>#REF!</v>
      </c>
    </row>
    <row r="80" spans="1:9" ht="18" customHeight="1">
      <c r="B80" s="202" t="s">
        <v>127</v>
      </c>
      <c r="C80" s="208" t="e">
        <f>SUM(C77:C79)*RFE!F21</f>
        <v>#REF!</v>
      </c>
      <c r="D80" s="190"/>
      <c r="E80" s="187"/>
      <c r="F80" s="187"/>
      <c r="G80" s="203"/>
      <c r="I80" s="47" t="e">
        <f t="shared" si="2"/>
        <v>#REF!</v>
      </c>
    </row>
    <row r="81" spans="2:9" ht="18" customHeight="1">
      <c r="B81" s="202" t="s">
        <v>82</v>
      </c>
      <c r="C81" s="208" t="e">
        <f>SUM(C77:C80)*RFE!F22</f>
        <v>#REF!</v>
      </c>
      <c r="D81" s="190"/>
      <c r="E81" s="187"/>
      <c r="F81" s="187"/>
      <c r="G81" s="203"/>
      <c r="I81" s="47" t="e">
        <f t="shared" si="2"/>
        <v>#REF!</v>
      </c>
    </row>
    <row r="82" spans="2:9" ht="18" customHeight="1">
      <c r="B82" s="204"/>
      <c r="C82" s="190"/>
      <c r="D82" s="190"/>
      <c r="E82" s="187"/>
      <c r="F82" s="187"/>
      <c r="G82" s="203"/>
      <c r="I82" s="47">
        <f t="shared" si="2"/>
        <v>0</v>
      </c>
    </row>
    <row r="83" spans="2:9" ht="18" customHeight="1" thickBot="1">
      <c r="B83" s="205" t="s">
        <v>128</v>
      </c>
      <c r="C83" s="207" t="e">
        <f>SUM(C77:C81)</f>
        <v>#REF!</v>
      </c>
      <c r="D83" s="195"/>
      <c r="E83" s="195"/>
      <c r="F83" s="195"/>
      <c r="G83" s="206"/>
      <c r="I83" s="47" t="e">
        <f t="shared" si="2"/>
        <v>#REF!</v>
      </c>
    </row>
    <row r="84" spans="2:9" ht="18" customHeight="1" thickBot="1">
      <c r="G84" s="114"/>
    </row>
    <row r="85" spans="2:9" ht="18" customHeight="1"/>
    <row r="86" spans="2:9" ht="18" customHeight="1">
      <c r="C86" s="213">
        <f>'Summary Sheet '!E61</f>
        <v>5428499.0525000002</v>
      </c>
    </row>
    <row r="87" spans="2:9" ht="18" customHeight="1"/>
    <row r="88" spans="2:9" ht="18" customHeight="1"/>
    <row r="89" spans="2:9" ht="18" customHeight="1"/>
    <row r="90" spans="2:9" ht="18" customHeight="1"/>
    <row r="91" spans="2:9" ht="18" customHeight="1"/>
    <row r="92" spans="2:9" ht="18" customHeight="1"/>
    <row r="93" spans="2:9" ht="18" customHeight="1"/>
    <row r="94" spans="2:9" ht="18" customHeight="1"/>
    <row r="95" spans="2:9" ht="18" customHeight="1"/>
    <row r="96" spans="2:9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</sheetData>
  <autoFilter ref="I9:I83" xr:uid="{00000000-0009-0000-0000-000009000000}"/>
  <mergeCells count="7">
    <mergeCell ref="G7:G8"/>
    <mergeCell ref="C7:C8"/>
    <mergeCell ref="E7:E8"/>
    <mergeCell ref="A7:A8"/>
    <mergeCell ref="B7:B8"/>
    <mergeCell ref="D7:D8"/>
    <mergeCell ref="F7:F8"/>
  </mergeCells>
  <phoneticPr fontId="0" type="noConversion"/>
  <printOptions horizontalCentered="1"/>
  <pageMargins left="0.5" right="0.5" top="1" bottom="1" header="0.5" footer="0.5"/>
  <pageSetup scale="62" orientation="portrait" horizontalDpi="300" verticalDpi="300" r:id="rId1"/>
  <headerFooter alignWithMargins="0">
    <oddHeader>&amp;LConstruction / Estimating
&amp;R&amp;D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9" sqref="A9"/>
    </sheetView>
    <sheetView workbookViewId="1"/>
  </sheetViews>
  <sheetFormatPr defaultRowHeight="15"/>
  <cols>
    <col min="1" max="1" width="3.54296875" bestFit="1" customWidth="1"/>
    <col min="2" max="2" width="44.453125" bestFit="1" customWidth="1"/>
    <col min="3" max="4" width="14.08984375" customWidth="1"/>
  </cols>
  <sheetData>
    <row r="1" spans="1:8" ht="51.75" customHeight="1"/>
    <row r="2" spans="1:8" ht="27" customHeight="1"/>
    <row r="3" spans="1:8" s="153" customFormat="1" ht="20.100000000000001">
      <c r="A3" s="619" t="s">
        <v>197</v>
      </c>
      <c r="B3" s="622"/>
      <c r="C3" s="622"/>
      <c r="D3" s="622"/>
      <c r="E3" s="256"/>
      <c r="G3" s="154"/>
      <c r="H3" s="155"/>
    </row>
    <row r="4" spans="1:8" s="153" customFormat="1">
      <c r="A4" s="621" t="s">
        <v>198</v>
      </c>
      <c r="B4" s="622"/>
      <c r="C4" s="622"/>
      <c r="D4" s="622"/>
      <c r="E4" s="7"/>
      <c r="G4" s="154"/>
      <c r="H4" s="156"/>
    </row>
    <row r="5" spans="1:8" s="153" customFormat="1">
      <c r="A5" s="621" t="s">
        <v>199</v>
      </c>
      <c r="B5" s="622"/>
      <c r="C5" s="622"/>
      <c r="D5" s="622"/>
      <c r="E5" s="7"/>
      <c r="G5" s="157"/>
      <c r="H5" s="156"/>
    </row>
    <row r="6" spans="1:8" s="153" customFormat="1" ht="15" customHeight="1">
      <c r="A6" s="621" t="str">
        <f>CONCATENATE(RFE!D12, " Floor")</f>
        <v xml:space="preserve"> Floor</v>
      </c>
      <c r="B6" s="622"/>
      <c r="C6" s="622"/>
      <c r="D6" s="622"/>
      <c r="E6" s="7"/>
      <c r="G6" s="154"/>
      <c r="H6" s="158"/>
    </row>
    <row r="7" spans="1:8" s="153" customFormat="1" ht="15" customHeight="1">
      <c r="A7" s="621" t="str">
        <f>CONCATENATE("Proposal #",RFE!F15)</f>
        <v>Proposal #</v>
      </c>
      <c r="B7" s="622"/>
      <c r="C7" s="622"/>
      <c r="D7" s="622"/>
      <c r="E7" s="7"/>
      <c r="G7" s="154"/>
      <c r="H7" s="158"/>
    </row>
    <row r="8" spans="1:8" s="153" customFormat="1">
      <c r="A8" s="621" t="s">
        <v>202</v>
      </c>
      <c r="B8" s="622"/>
      <c r="C8" s="622"/>
      <c r="D8" s="622"/>
    </row>
    <row r="9" spans="1:8" s="159" customFormat="1" ht="12.75" customHeight="1">
      <c r="B9" s="640"/>
      <c r="C9" s="640"/>
      <c r="D9" s="640"/>
    </row>
    <row r="10" spans="1:8" s="159" customFormat="1" ht="18" customHeight="1">
      <c r="B10" s="641" t="s">
        <v>165</v>
      </c>
      <c r="C10" s="642"/>
      <c r="D10" s="642"/>
    </row>
    <row r="11" spans="1:8" s="159" customFormat="1" ht="18" customHeight="1">
      <c r="B11" s="641" t="s">
        <v>166</v>
      </c>
      <c r="C11" s="641"/>
      <c r="D11" s="641"/>
    </row>
    <row r="12" spans="1:8" s="159" customFormat="1" ht="12.75" customHeight="1">
      <c r="B12" s="640"/>
      <c r="C12" s="640"/>
      <c r="D12" s="640"/>
    </row>
    <row r="13" spans="1:8">
      <c r="A13" s="160">
        <v>1</v>
      </c>
      <c r="B13" s="257"/>
      <c r="C13" s="257" t="s">
        <v>200</v>
      </c>
      <c r="D13" s="257" t="s">
        <v>201</v>
      </c>
    </row>
    <row r="14" spans="1:8">
      <c r="A14" s="161">
        <v>2</v>
      </c>
      <c r="B14" s="257"/>
      <c r="C14" s="257"/>
      <c r="D14" s="257"/>
    </row>
    <row r="15" spans="1:8">
      <c r="A15" s="161">
        <v>3</v>
      </c>
      <c r="B15" s="257"/>
      <c r="C15" s="257"/>
      <c r="D15" s="257"/>
    </row>
    <row r="16" spans="1:8">
      <c r="A16" s="161">
        <v>4</v>
      </c>
      <c r="B16" s="257"/>
      <c r="C16" s="257"/>
      <c r="D16" s="257"/>
    </row>
    <row r="17" spans="1:4">
      <c r="A17" s="161">
        <v>5</v>
      </c>
      <c r="B17" s="257"/>
      <c r="C17" s="257"/>
      <c r="D17" s="257"/>
    </row>
    <row r="18" spans="1:4">
      <c r="A18" s="161">
        <v>6</v>
      </c>
      <c r="B18" s="257"/>
      <c r="C18" s="257"/>
      <c r="D18" s="257"/>
    </row>
    <row r="19" spans="1:4">
      <c r="A19" s="161">
        <v>7</v>
      </c>
      <c r="B19" s="257"/>
      <c r="C19" s="257"/>
      <c r="D19" s="257"/>
    </row>
    <row r="20" spans="1:4">
      <c r="A20" s="161">
        <v>8</v>
      </c>
      <c r="B20" s="257"/>
      <c r="C20" s="257"/>
      <c r="D20" s="257"/>
    </row>
    <row r="21" spans="1:4">
      <c r="A21" s="161">
        <v>9</v>
      </c>
      <c r="B21" s="257"/>
      <c r="C21" s="257"/>
      <c r="D21" s="257"/>
    </row>
    <row r="22" spans="1:4">
      <c r="A22" s="161">
        <v>10</v>
      </c>
      <c r="B22" s="257"/>
      <c r="C22" s="257"/>
      <c r="D22" s="257"/>
    </row>
    <row r="23" spans="1:4">
      <c r="A23" s="161">
        <v>11</v>
      </c>
      <c r="B23" s="257"/>
      <c r="C23" s="257"/>
      <c r="D23" s="257"/>
    </row>
    <row r="24" spans="1:4">
      <c r="A24" s="161">
        <v>12</v>
      </c>
      <c r="B24" s="257"/>
      <c r="C24" s="257"/>
      <c r="D24" s="257"/>
    </row>
    <row r="25" spans="1:4">
      <c r="A25" s="161">
        <v>13</v>
      </c>
      <c r="B25" s="257"/>
      <c r="C25" s="257"/>
      <c r="D25" s="257"/>
    </row>
    <row r="26" spans="1:4">
      <c r="A26" s="161">
        <v>14</v>
      </c>
      <c r="B26" s="257"/>
      <c r="C26" s="257"/>
      <c r="D26" s="257"/>
    </row>
    <row r="27" spans="1:4">
      <c r="A27" s="161">
        <v>15</v>
      </c>
      <c r="B27" s="257"/>
      <c r="C27" s="257"/>
      <c r="D27" s="257"/>
    </row>
    <row r="28" spans="1:4">
      <c r="A28" s="161">
        <v>16</v>
      </c>
      <c r="B28" s="257"/>
      <c r="C28" s="257"/>
      <c r="D28" s="257"/>
    </row>
    <row r="29" spans="1:4">
      <c r="A29" s="161">
        <v>17</v>
      </c>
      <c r="B29" s="257"/>
      <c r="C29" s="257"/>
      <c r="D29" s="257"/>
    </row>
    <row r="30" spans="1:4">
      <c r="A30" s="161">
        <v>18</v>
      </c>
      <c r="B30" s="257"/>
      <c r="C30" s="257"/>
      <c r="D30" s="257"/>
    </row>
    <row r="31" spans="1:4">
      <c r="A31" s="161">
        <v>19</v>
      </c>
      <c r="B31" s="257"/>
      <c r="C31" s="257"/>
      <c r="D31" s="257"/>
    </row>
    <row r="32" spans="1:4">
      <c r="A32" s="161">
        <v>20</v>
      </c>
      <c r="B32" s="257"/>
      <c r="C32" s="257"/>
      <c r="D32" s="257"/>
    </row>
    <row r="33" spans="1:4">
      <c r="A33" s="161">
        <v>21</v>
      </c>
      <c r="B33" s="257"/>
      <c r="C33" s="257"/>
      <c r="D33" s="257"/>
    </row>
    <row r="34" spans="1:4">
      <c r="A34" s="161">
        <v>22</v>
      </c>
      <c r="B34" s="257"/>
      <c r="C34" s="257"/>
      <c r="D34" s="257"/>
    </row>
    <row r="35" spans="1:4">
      <c r="A35" s="161">
        <v>23</v>
      </c>
      <c r="B35" s="257"/>
      <c r="C35" s="257"/>
      <c r="D35" s="257"/>
    </row>
    <row r="36" spans="1:4">
      <c r="A36" s="161">
        <v>24</v>
      </c>
      <c r="B36" s="257"/>
      <c r="C36" s="257"/>
      <c r="D36" s="257"/>
    </row>
    <row r="37" spans="1:4">
      <c r="A37" s="162">
        <v>25</v>
      </c>
      <c r="B37" s="257"/>
      <c r="C37" s="257"/>
      <c r="D37" s="257"/>
    </row>
  </sheetData>
  <mergeCells count="10">
    <mergeCell ref="A3:D3"/>
    <mergeCell ref="A4:D4"/>
    <mergeCell ref="A5:D5"/>
    <mergeCell ref="A6:D6"/>
    <mergeCell ref="A7:D7"/>
    <mergeCell ref="B9:D9"/>
    <mergeCell ref="B10:D10"/>
    <mergeCell ref="B11:D11"/>
    <mergeCell ref="B12:D12"/>
    <mergeCell ref="A8:D8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  <sheetView workbookViewId="1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49</vt:i4>
      </vt:variant>
    </vt:vector>
  </HeadingPairs>
  <TitlesOfParts>
    <vt:vector size="64" baseType="lpstr">
      <vt:lpstr>RFE</vt:lpstr>
      <vt:lpstr>RFELINK</vt:lpstr>
      <vt:lpstr>CVR LETTER</vt:lpstr>
      <vt:lpstr>Summary Sheet </vt:lpstr>
      <vt:lpstr>VE</vt:lpstr>
      <vt:lpstr>Drawing Manifest</vt:lpstr>
      <vt:lpstr>Notes &amp; Clarifications</vt:lpstr>
      <vt:lpstr>Estimate</vt:lpstr>
      <vt:lpstr>Sheet1</vt:lpstr>
      <vt:lpstr>General Conditions</vt:lpstr>
      <vt:lpstr>Bid Comparison </vt:lpstr>
      <vt:lpstr>Sheet4</vt:lpstr>
      <vt:lpstr>Kit</vt:lpstr>
      <vt:lpstr>RFI</vt:lpstr>
      <vt:lpstr>Sheet2</vt:lpstr>
      <vt:lpstr>address</vt:lpstr>
      <vt:lpstr>architect</vt:lpstr>
      <vt:lpstr>basejobfee</vt:lpstr>
      <vt:lpstr>basejobgc</vt:lpstr>
      <vt:lpstr>basejobins</vt:lpstr>
      <vt:lpstr>client</vt:lpstr>
      <vt:lpstr>cofee</vt:lpstr>
      <vt:lpstr>cogc</vt:lpstr>
      <vt:lpstr>coins</vt:lpstr>
      <vt:lpstr>contacts</vt:lpstr>
      <vt:lpstr>CreateDate</vt:lpstr>
      <vt:lpstr>Demolition</vt:lpstr>
      <vt:lpstr>DueDate</vt:lpstr>
      <vt:lpstr>engineer</vt:lpstr>
      <vt:lpstr>Estimator</vt:lpstr>
      <vt:lpstr>Executive</vt:lpstr>
      <vt:lpstr>Floor</vt:lpstr>
      <vt:lpstr>From</vt:lpstr>
      <vt:lpstr>JobNum</vt:lpstr>
      <vt:lpstr>'General Conditions'!NAME</vt:lpstr>
      <vt:lpstr>'Bid Comparison '!Print_Area</vt:lpstr>
      <vt:lpstr>'CVR LETTER'!Print_Area</vt:lpstr>
      <vt:lpstr>'Drawing Manifest'!Print_Area</vt:lpstr>
      <vt:lpstr>Estimate!Print_Area</vt:lpstr>
      <vt:lpstr>'General Conditions'!Print_Area</vt:lpstr>
      <vt:lpstr>Kit!Print_Area</vt:lpstr>
      <vt:lpstr>'Notes &amp; Clarifications'!Print_Area</vt:lpstr>
      <vt:lpstr>RFE!Print_Area</vt:lpstr>
      <vt:lpstr>'Summary Sheet '!Print_Area</vt:lpstr>
      <vt:lpstr>VE!Print_Area</vt:lpstr>
      <vt:lpstr>'Bid Comparison '!Print_Titles</vt:lpstr>
      <vt:lpstr>'Drawing Manifest'!Print_Titles</vt:lpstr>
      <vt:lpstr>Estimate!Print_Titles</vt:lpstr>
      <vt:lpstr>'General Conditions'!Print_Titles</vt:lpstr>
      <vt:lpstr>'Notes &amp; Clarifications'!Print_Titles</vt:lpstr>
      <vt:lpstr>'Summary Sheet '!Print_Titles</vt:lpstr>
      <vt:lpstr>Projectmgr</vt:lpstr>
      <vt:lpstr>PropName</vt:lpstr>
      <vt:lpstr>PropNum</vt:lpstr>
      <vt:lpstr>regsf</vt:lpstr>
      <vt:lpstr>remarks</vt:lpstr>
      <vt:lpstr>representative</vt:lpstr>
      <vt:lpstr>RFELINK!RFE</vt:lpstr>
      <vt:lpstr>RFELINK!RFE_From_Access_to_Excel</vt:lpstr>
      <vt:lpstr>RFELINK!RFEContacts</vt:lpstr>
      <vt:lpstr>rfetype</vt:lpstr>
      <vt:lpstr>Summary2</vt:lpstr>
      <vt:lpstr>TypeRequest</vt:lpstr>
      <vt:lpstr>usablesf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Giovane</dc:creator>
  <cp:lastModifiedBy>Steve Meltzer</cp:lastModifiedBy>
  <cp:lastPrinted>2025-10-07T20:43:26Z</cp:lastPrinted>
  <dcterms:created xsi:type="dcterms:W3CDTF">1997-09-12T11:39:47Z</dcterms:created>
  <dcterms:modified xsi:type="dcterms:W3CDTF">2025-11-04T20:12:26Z</dcterms:modified>
</cp:coreProperties>
</file>