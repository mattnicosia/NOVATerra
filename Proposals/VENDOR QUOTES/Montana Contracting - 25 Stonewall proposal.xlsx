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511a6706d376ff/Documents/Proposals/"/>
    </mc:Choice>
  </mc:AlternateContent>
  <xr:revisionPtr revIDLastSave="124" documentId="8_{75F4548D-EC55-4276-A510-99ED39E19503}" xr6:coauthVersionLast="47" xr6:coauthVersionMax="47" xr10:uidLastSave="{22956CC5-4C03-43A7-B1D3-064F4237BDDA}"/>
  <bookViews>
    <workbookView xWindow="-120" yWindow="-120" windowWidth="25440" windowHeight="15270" xr2:uid="{7B3649B9-41DA-4427-A2C2-8B28BF50ED9A}"/>
  </bookViews>
  <sheets>
    <sheet name="Sheet1" sheetId="1" r:id="rId1"/>
    <sheet name="Sheet2" sheetId="2" r:id="rId2"/>
  </sheets>
  <externalReferences>
    <externalReference r:id="rId3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" l="1"/>
  <c r="K36" i="1" s="1"/>
  <c r="G12" i="2"/>
  <c r="A12" i="2"/>
  <c r="G11" i="2"/>
  <c r="A11" i="2"/>
  <c r="G10" i="2"/>
  <c r="A10" i="2"/>
  <c r="G9" i="2"/>
  <c r="G8" i="2"/>
  <c r="A8" i="2"/>
  <c r="G7" i="2"/>
  <c r="A7" i="2"/>
  <c r="L5" i="2"/>
  <c r="I4" i="2"/>
  <c r="I4" i="1"/>
  <c r="L5" i="1"/>
  <c r="A7" i="1"/>
  <c r="G7" i="1"/>
  <c r="A8" i="1"/>
  <c r="G8" i="1"/>
  <c r="G9" i="1"/>
  <c r="A10" i="1"/>
  <c r="G10" i="1"/>
  <c r="G11" i="1"/>
  <c r="A12" i="1"/>
  <c r="G12" i="1"/>
  <c r="K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I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Enter specific name of person the bid is to be sent to</t>
        </r>
      </text>
    </comment>
    <comment ref="A8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9" authorId="0" shapeId="0" xr:uid="{49501064-FE51-4876-A8BB-7D7F31D49143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J37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Enter tax rate for county work is being performed in</t>
        </r>
      </text>
    </comment>
    <comment ref="K38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Enter General Conditions to include travel, dumpsters, per diem,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I7" authorId="0" shapeId="0" xr:uid="{AD77643A-2E85-45E7-A548-AEC140A8F5F4}">
      <text>
        <r>
          <rPr>
            <sz val="9"/>
            <color indexed="81"/>
            <rFont val="Tahoma"/>
            <family val="2"/>
          </rPr>
          <t xml:space="preserve">
Enter specific name of person the bid is to be sent to</t>
        </r>
      </text>
    </comment>
    <comment ref="A8" authorId="0" shapeId="0" xr:uid="{426638F3-5ACF-4AB3-9FC2-99ED85175E59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9" authorId="0" shapeId="0" xr:uid="{97F0722B-D614-4CEF-A8A2-8F41221C843F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14" authorId="0" shapeId="0" xr:uid="{14711AC4-D42D-4ACE-82AE-C19E6633AC1B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Add general description of work to be performed</t>
        </r>
      </text>
    </comment>
    <comment ref="J46" authorId="0" shapeId="0" xr:uid="{E4B2C37C-9A71-47EE-9E60-3784E3650B3C}">
      <text>
        <r>
          <rPr>
            <sz val="9"/>
            <color indexed="81"/>
            <rFont val="Tahoma"/>
            <family val="2"/>
          </rPr>
          <t xml:space="preserve">
Enter tax rate for county work is being performed in</t>
        </r>
      </text>
    </comment>
    <comment ref="K47" authorId="0" shapeId="0" xr:uid="{1205F37E-21AB-4F6E-A77E-412E85BD9155}">
      <text>
        <r>
          <rPr>
            <sz val="9"/>
            <color indexed="81"/>
            <rFont val="Tahoma"/>
            <family val="2"/>
          </rPr>
          <t xml:space="preserve">
Enter General Conditions to include travel, dumpsters, per diem, etc.</t>
        </r>
      </text>
    </comment>
  </commentList>
</comments>
</file>

<file path=xl/sharedStrings.xml><?xml version="1.0" encoding="utf-8"?>
<sst xmlns="http://schemas.openxmlformats.org/spreadsheetml/2006/main" count="89" uniqueCount="55">
  <si>
    <t>Date</t>
  </si>
  <si>
    <t>Sales</t>
  </si>
  <si>
    <t>Estimator</t>
  </si>
  <si>
    <t>Installation</t>
  </si>
  <si>
    <t>President</t>
  </si>
  <si>
    <t>Price includes all Materials, Freight and Installation per plan and specification. Bid Proposal is in conjunction with the attached  Scope of work which further defines as:  Materials, Inclusions, and Exclusions. Bid Proposal is valid for (60) days from Date Submitted.</t>
  </si>
  <si>
    <t xml:space="preserve">TOTAL DUE </t>
  </si>
  <si>
    <t xml:space="preserve">Total </t>
  </si>
  <si>
    <t>TOTAL COST</t>
  </si>
  <si>
    <t>QTY</t>
  </si>
  <si>
    <t xml:space="preserve">EACH </t>
  </si>
  <si>
    <t>COLOR</t>
  </si>
  <si>
    <t>ITEM DESCRIPTION</t>
  </si>
  <si>
    <t>PROJECT DETAILS</t>
  </si>
  <si>
    <t>Tandrews@livingrockcustom.com</t>
  </si>
  <si>
    <t>845-500-9296</t>
  </si>
  <si>
    <t>Tracy Andrews</t>
  </si>
  <si>
    <t xml:space="preserve">   Middletown, NY 10940</t>
  </si>
  <si>
    <t xml:space="preserve">    45 Enterprise Place           </t>
  </si>
  <si>
    <r>
      <t>B</t>
    </r>
    <r>
      <rPr>
        <b/>
        <sz val="18"/>
        <color theme="1"/>
        <rFont val="Arial Black"/>
        <family val="2"/>
      </rPr>
      <t>ID</t>
    </r>
    <r>
      <rPr>
        <b/>
        <sz val="20"/>
        <color theme="1"/>
        <rFont val="Arial Black"/>
        <family val="2"/>
      </rPr>
      <t xml:space="preserve"> P</t>
    </r>
    <r>
      <rPr>
        <b/>
        <sz val="18"/>
        <color theme="1"/>
        <rFont val="Arial Black"/>
        <family val="2"/>
      </rPr>
      <t>ROPOSAL</t>
    </r>
  </si>
  <si>
    <t>Gen. Contractor</t>
  </si>
  <si>
    <t>Supply and Install:</t>
  </si>
  <si>
    <t>1.27.20</t>
  </si>
  <si>
    <t>Total Page 1</t>
  </si>
  <si>
    <t>Total Page2</t>
  </si>
  <si>
    <t xml:space="preserve">GC Address </t>
  </si>
  <si>
    <t>Price includes all Materials, Freight and Installation per plan and specification. Bid Proposal is in conjunction with the attached  Scope of work which further defines as:  Materials, Inclusions, and Exclusions. Bid Proposal is valid for (30) days from Date Submitted ("Plan Date" above).</t>
  </si>
  <si>
    <t xml:space="preserve">   Middletown, NY 10941</t>
  </si>
  <si>
    <t>tax</t>
  </si>
  <si>
    <t>Montana Contracting</t>
  </si>
  <si>
    <t>173 N Route 9W</t>
  </si>
  <si>
    <t>Congers, NY 10920</t>
  </si>
  <si>
    <t>25 Stonewall Lane, Mamaroneck, NY</t>
  </si>
  <si>
    <t>7.7.25</t>
  </si>
  <si>
    <t>Ines MacAdam</t>
  </si>
  <si>
    <t>845.398.1778</t>
  </si>
  <si>
    <t>ines@montanacontracting.com</t>
  </si>
  <si>
    <t>Bath Accessories:</t>
  </si>
  <si>
    <t>black</t>
  </si>
  <si>
    <t>K-26052 mirror</t>
  </si>
  <si>
    <t>K-99007-TLC-NA med cab</t>
  </si>
  <si>
    <t>K-27290-BL Tbar</t>
  </si>
  <si>
    <t>K-21953-BL Tbar</t>
  </si>
  <si>
    <t>K-21955-BL Tring</t>
  </si>
  <si>
    <t>K-21954-BL Tpaper</t>
  </si>
  <si>
    <t>K-27429-BL Tpaper</t>
  </si>
  <si>
    <t>K-27426-BL Tbar</t>
  </si>
  <si>
    <t>K-27427-BL Rhook</t>
  </si>
  <si>
    <t>K-27428-BL Tring</t>
  </si>
  <si>
    <t>Shower Enclosures:</t>
  </si>
  <si>
    <t>K-706009-L-BL</t>
  </si>
  <si>
    <t>K-706006-D3-BL</t>
  </si>
  <si>
    <t>Dreamline SHDR-20297210</t>
  </si>
  <si>
    <t>shipping</t>
  </si>
  <si>
    <t>Bath Accessories and Shower Enclosures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</si>
</sst>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11"/>
      <color rgb="FF182D6A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1" tint="0.499984740745262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 Light"/>
      <family val="1"/>
      <scheme val="major"/>
    </font>
    <font>
      <sz val="1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theme="1" tint="0.34998626667073579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0066CC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rgb="FF0066CC"/>
      <name val="Calibri"/>
      <family val="2"/>
      <scheme val="minor"/>
    </font>
    <font>
      <sz val="28"/>
      <color rgb="FF0066CC"/>
      <name val="AR ESSENCE"/>
    </font>
    <font>
      <b/>
      <sz val="20"/>
      <color theme="1"/>
      <name val="Arial Black"/>
      <family val="2"/>
    </font>
    <font>
      <b/>
      <sz val="18"/>
      <color theme="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Bahnschrift Light"/>
      <family val="2"/>
    </font>
    <font>
      <u/>
      <sz val="10"/>
      <color theme="10"/>
      <name val="Calibri"/>
      <family val="2"/>
      <scheme val="minor"/>
    </font>
    <font>
      <sz val="10"/>
      <color theme="1"/>
      <name val="Calibri Light"/>
      <family val="1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57">
    <xf numFmtId="0" fontId="0" fillId="0" borderId="0" xfId="0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0" fillId="0" borderId="1" xfId="0" applyBorder="1"/>
    <xf numFmtId="9" fontId="4" fillId="0" borderId="1" xfId="2" applyFont="1" applyBorder="1" applyAlignment="1">
      <alignment horizontal="right"/>
    </xf>
    <xf numFmtId="0" fontId="0" fillId="0" borderId="6" xfId="2" applyNumberFormat="1" applyFont="1" applyBorder="1" applyAlignment="1">
      <alignment horizontal="right"/>
    </xf>
    <xf numFmtId="10" fontId="4" fillId="0" borderId="0" xfId="2" applyNumberFormat="1" applyFont="1" applyAlignment="1">
      <alignment horizontal="right"/>
    </xf>
    <xf numFmtId="0" fontId="4" fillId="0" borderId="8" xfId="2" applyNumberFormat="1" applyFont="1" applyBorder="1" applyAlignment="1">
      <alignment horizontal="right"/>
    </xf>
    <xf numFmtId="0" fontId="3" fillId="0" borderId="0" xfId="0" applyFont="1"/>
    <xf numFmtId="0" fontId="11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21" fillId="0" borderId="0" xfId="0" applyFont="1"/>
    <xf numFmtId="0" fontId="25" fillId="0" borderId="0" xfId="0" applyFont="1"/>
    <xf numFmtId="0" fontId="27" fillId="0" borderId="0" xfId="0" applyFont="1"/>
    <xf numFmtId="0" fontId="28" fillId="0" borderId="0" xfId="0" applyFont="1" applyAlignment="1">
      <alignment vertical="center" shrinkToFit="1"/>
    </xf>
    <xf numFmtId="44" fontId="0" fillId="0" borderId="0" xfId="1" applyFont="1"/>
    <xf numFmtId="0" fontId="33" fillId="0" borderId="0" xfId="0" applyFont="1"/>
    <xf numFmtId="0" fontId="0" fillId="3" borderId="0" xfId="0" applyFill="1"/>
    <xf numFmtId="0" fontId="0" fillId="0" borderId="0" xfId="0" quotePrefix="1"/>
    <xf numFmtId="0" fontId="4" fillId="0" borderId="0" xfId="0" applyFont="1"/>
    <xf numFmtId="0" fontId="0" fillId="0" borderId="0" xfId="1" applyNumberFormat="1" applyFont="1"/>
    <xf numFmtId="0" fontId="4" fillId="0" borderId="25" xfId="2" applyNumberFormat="1" applyFont="1" applyBorder="1" applyAlignment="1">
      <alignment horizontal="right"/>
    </xf>
    <xf numFmtId="10" fontId="4" fillId="0" borderId="0" xfId="2" applyNumberFormat="1" applyFont="1" applyBorder="1" applyAlignment="1">
      <alignment horizontal="right"/>
    </xf>
    <xf numFmtId="0" fontId="0" fillId="0" borderId="30" xfId="2" applyNumberFormat="1" applyFont="1" applyBorder="1" applyAlignment="1">
      <alignment horizontal="right"/>
    </xf>
    <xf numFmtId="0" fontId="0" fillId="0" borderId="0" xfId="0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horizontal="left" vertical="center" indent="1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5" xfId="0" quotePrefix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26" xfId="0" applyNumberFormat="1" applyBorder="1" applyAlignment="1">
      <alignment horizontal="right"/>
    </xf>
    <xf numFmtId="0" fontId="0" fillId="0" borderId="25" xfId="0" quotePrefix="1" applyBorder="1" applyAlignment="1">
      <alignment horizontal="left"/>
    </xf>
    <xf numFmtId="0" fontId="0" fillId="0" borderId="0" xfId="0" quotePrefix="1" applyAlignment="1">
      <alignment horizontal="left"/>
    </xf>
    <xf numFmtId="6" fontId="0" fillId="0" borderId="23" xfId="1" applyNumberFormat="1" applyFont="1" applyBorder="1" applyAlignment="1">
      <alignment horizontal="right"/>
    </xf>
    <xf numFmtId="6" fontId="0" fillId="0" borderId="24" xfId="1" applyNumberFormat="1" applyFont="1" applyBorder="1" applyAlignment="1">
      <alignment horizontal="right"/>
    </xf>
    <xf numFmtId="44" fontId="0" fillId="0" borderId="23" xfId="1" applyFont="1" applyBorder="1"/>
    <xf numFmtId="8" fontId="0" fillId="0" borderId="23" xfId="1" applyNumberFormat="1" applyFont="1" applyBorder="1"/>
    <xf numFmtId="0" fontId="0" fillId="0" borderId="22" xfId="0" applyBorder="1"/>
    <xf numFmtId="0" fontId="0" fillId="0" borderId="23" xfId="0" applyBorder="1"/>
    <xf numFmtId="0" fontId="12" fillId="2" borderId="8" xfId="0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4" fillId="0" borderId="2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25" xfId="0" applyBorder="1" applyAlignment="1">
      <alignment horizontal="left" vertical="center"/>
    </xf>
    <xf numFmtId="0" fontId="2" fillId="2" borderId="15" xfId="0" applyFont="1" applyFill="1" applyBorder="1" applyAlignment="1">
      <alignment horizontal="right" vertical="center"/>
    </xf>
    <xf numFmtId="2" fontId="16" fillId="0" borderId="15" xfId="0" applyNumberFormat="1" applyFont="1" applyBorder="1" applyAlignment="1">
      <alignment horizontal="left"/>
    </xf>
    <xf numFmtId="0" fontId="12" fillId="2" borderId="0" xfId="1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14" fontId="14" fillId="0" borderId="15" xfId="3" applyNumberForma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2" borderId="0" xfId="1" applyNumberFormat="1" applyFont="1" applyFill="1" applyBorder="1" applyAlignment="1">
      <alignment horizontal="right"/>
    </xf>
    <xf numFmtId="0" fontId="12" fillId="2" borderId="7" xfId="1" applyNumberFormat="1" applyFont="1" applyFill="1" applyBorder="1" applyAlignment="1">
      <alignment horizontal="right"/>
    </xf>
    <xf numFmtId="0" fontId="2" fillId="2" borderId="1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  <xf numFmtId="14" fontId="15" fillId="0" borderId="18" xfId="0" applyNumberFormat="1" applyFont="1" applyBorder="1" applyAlignment="1">
      <alignment horizontal="justify" wrapText="1"/>
    </xf>
    <xf numFmtId="0" fontId="15" fillId="0" borderId="17" xfId="0" applyFont="1" applyBorder="1" applyAlignment="1">
      <alignment horizontal="justify" wrapText="1"/>
    </xf>
    <xf numFmtId="0" fontId="15" fillId="0" borderId="16" xfId="0" applyFont="1" applyBorder="1" applyAlignment="1">
      <alignment horizontal="justify" wrapText="1"/>
    </xf>
    <xf numFmtId="0" fontId="4" fillId="2" borderId="16" xfId="0" applyFont="1" applyFill="1" applyBorder="1" applyAlignment="1">
      <alignment horizontal="right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0" xfId="0" applyFont="1" applyAlignment="1">
      <alignment horizontal="right" vertical="top"/>
    </xf>
    <xf numFmtId="0" fontId="26" fillId="0" borderId="0" xfId="0" applyFont="1" applyAlignment="1">
      <alignment horizontal="right" vertical="top"/>
    </xf>
    <xf numFmtId="14" fontId="17" fillId="0" borderId="15" xfId="0" applyNumberFormat="1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37" fillId="0" borderId="15" xfId="3" applyFont="1" applyBorder="1" applyAlignment="1">
      <alignment horizontal="left"/>
    </xf>
    <xf numFmtId="0" fontId="38" fillId="0" borderId="15" xfId="0" applyFont="1" applyBorder="1" applyAlignment="1">
      <alignment horizontal="left"/>
    </xf>
    <xf numFmtId="0" fontId="24" fillId="2" borderId="18" xfId="0" applyFont="1" applyFill="1" applyBorder="1" applyAlignment="1">
      <alignment horizontal="right" wrapText="1"/>
    </xf>
    <xf numFmtId="0" fontId="24" fillId="2" borderId="16" xfId="0" applyFont="1" applyFill="1" applyBorder="1" applyAlignment="1">
      <alignment horizontal="right" wrapText="1"/>
    </xf>
    <xf numFmtId="0" fontId="23" fillId="0" borderId="18" xfId="0" applyFont="1" applyBorder="1" applyAlignment="1">
      <alignment horizontal="center" wrapText="1"/>
    </xf>
    <xf numFmtId="0" fontId="22" fillId="0" borderId="16" xfId="0" applyFont="1" applyBorder="1" applyAlignment="1">
      <alignment horizontal="center" wrapText="1"/>
    </xf>
    <xf numFmtId="0" fontId="0" fillId="2" borderId="16" xfId="0" applyFill="1" applyBorder="1" applyAlignment="1">
      <alignment horizontal="right" vertical="center" wrapText="1"/>
    </xf>
    <xf numFmtId="0" fontId="21" fillId="0" borderId="0" xfId="0" applyFont="1" applyAlignment="1">
      <alignment horizontal="center"/>
    </xf>
    <xf numFmtId="0" fontId="18" fillId="0" borderId="15" xfId="0" applyFont="1" applyBorder="1" applyAlignment="1">
      <alignment horizontal="left"/>
    </xf>
    <xf numFmtId="0" fontId="39" fillId="0" borderId="18" xfId="0" applyFont="1" applyBorder="1" applyAlignment="1">
      <alignment horizontal="justify" wrapText="1"/>
    </xf>
    <xf numFmtId="0" fontId="40" fillId="0" borderId="17" xfId="0" applyFont="1" applyBorder="1" applyAlignment="1">
      <alignment horizontal="justify" wrapText="1"/>
    </xf>
    <xf numFmtId="0" fontId="40" fillId="0" borderId="16" xfId="0" applyFont="1" applyBorder="1" applyAlignment="1">
      <alignment horizontal="justify" wrapText="1"/>
    </xf>
    <xf numFmtId="0" fontId="18" fillId="0" borderId="18" xfId="0" applyFont="1" applyBorder="1" applyAlignment="1">
      <alignment horizontal="justify" wrapText="1"/>
    </xf>
    <xf numFmtId="0" fontId="15" fillId="0" borderId="18" xfId="0" applyFont="1" applyBorder="1" applyAlignment="1">
      <alignment horizontal="justify" wrapText="1"/>
    </xf>
    <xf numFmtId="49" fontId="16" fillId="0" borderId="15" xfId="0" applyNumberFormat="1" applyFont="1" applyBorder="1" applyAlignment="1">
      <alignment horizontal="left"/>
    </xf>
    <xf numFmtId="164" fontId="0" fillId="0" borderId="28" xfId="0" applyNumberFormat="1" applyBorder="1" applyAlignment="1">
      <alignment horizontal="right"/>
    </xf>
    <xf numFmtId="164" fontId="0" fillId="0" borderId="29" xfId="0" applyNumberFormat="1" applyBorder="1" applyAlignment="1">
      <alignment horizontal="right"/>
    </xf>
    <xf numFmtId="0" fontId="0" fillId="0" borderId="28" xfId="0" applyBorder="1" applyAlignment="1">
      <alignment horizontal="right"/>
    </xf>
    <xf numFmtId="0" fontId="8" fillId="0" borderId="0" xfId="0" applyFont="1" applyAlignment="1">
      <alignment horizontal="justify" vertical="center" wrapText="1"/>
    </xf>
    <xf numFmtId="0" fontId="4" fillId="0" borderId="25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9" fillId="0" borderId="27" xfId="0" applyFont="1" applyBorder="1" applyAlignment="1">
      <alignment horizontal="right"/>
    </xf>
    <xf numFmtId="0" fontId="9" fillId="0" borderId="28" xfId="0" applyFont="1" applyBorder="1" applyAlignment="1">
      <alignment horizontal="right"/>
    </xf>
    <xf numFmtId="44" fontId="4" fillId="0" borderId="0" xfId="1" applyFont="1" applyBorder="1" applyAlignment="1">
      <alignment horizontal="center"/>
    </xf>
    <xf numFmtId="44" fontId="4" fillId="0" borderId="26" xfId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8" fontId="34" fillId="0" borderId="0" xfId="1" applyNumberFormat="1" applyFont="1" applyBorder="1"/>
    <xf numFmtId="44" fontId="34" fillId="0" borderId="26" xfId="1" applyFont="1" applyBorder="1"/>
    <xf numFmtId="8" fontId="34" fillId="0" borderId="0" xfId="0" applyNumberFormat="1" applyFont="1"/>
    <xf numFmtId="0" fontId="34" fillId="0" borderId="26" xfId="0" applyFont="1" applyBorder="1"/>
    <xf numFmtId="8" fontId="4" fillId="0" borderId="0" xfId="0" applyNumberFormat="1" applyFont="1"/>
    <xf numFmtId="0" fontId="4" fillId="0" borderId="26" xfId="0" applyFont="1" applyBorder="1"/>
    <xf numFmtId="8" fontId="34" fillId="0" borderId="28" xfId="1" applyNumberFormat="1" applyFont="1" applyBorder="1"/>
    <xf numFmtId="44" fontId="34" fillId="0" borderId="29" xfId="1" applyFont="1" applyBorder="1"/>
    <xf numFmtId="0" fontId="4" fillId="0" borderId="25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1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1" applyNumberFormat="1" applyFont="1" applyBorder="1"/>
    <xf numFmtId="164" fontId="9" fillId="0" borderId="2" xfId="1" applyNumberFormat="1" applyFont="1" applyBorder="1"/>
    <xf numFmtId="0" fontId="4" fillId="0" borderId="8" xfId="0" applyFont="1" applyBorder="1" applyAlignment="1">
      <alignment horizontal="right"/>
    </xf>
    <xf numFmtId="164" fontId="4" fillId="0" borderId="0" xfId="0" applyNumberFormat="1" applyFont="1"/>
    <xf numFmtId="164" fontId="4" fillId="0" borderId="7" xfId="0" applyNumberFormat="1" applyFont="1" applyBorder="1"/>
    <xf numFmtId="44" fontId="0" fillId="0" borderId="0" xfId="1" applyFont="1" applyAlignment="1">
      <alignment horizontal="right"/>
    </xf>
    <xf numFmtId="44" fontId="0" fillId="0" borderId="7" xfId="1" applyFont="1" applyBorder="1" applyAlignment="1">
      <alignment horizontal="right"/>
    </xf>
    <xf numFmtId="44" fontId="0" fillId="0" borderId="1" xfId="1" applyFont="1" applyBorder="1"/>
    <xf numFmtId="0" fontId="0" fillId="0" borderId="1" xfId="1" applyNumberFormat="1" applyFont="1" applyBorder="1"/>
    <xf numFmtId="44" fontId="0" fillId="0" borderId="1" xfId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44" fontId="0" fillId="0" borderId="0" xfId="1" applyFont="1"/>
    <xf numFmtId="0" fontId="0" fillId="0" borderId="0" xfId="1" applyNumberFormat="1" applyFont="1"/>
    <xf numFmtId="44" fontId="0" fillId="0" borderId="0" xfId="1" applyFont="1" applyAlignment="1"/>
    <xf numFmtId="8" fontId="0" fillId="0" borderId="0" xfId="1" applyNumberFormat="1" applyFont="1" applyAlignment="1">
      <alignment horizontal="right"/>
    </xf>
    <xf numFmtId="8" fontId="0" fillId="0" borderId="7" xfId="1" applyNumberFormat="1" applyFont="1" applyBorder="1" applyAlignment="1">
      <alignment horizontal="right"/>
    </xf>
    <xf numFmtId="44" fontId="33" fillId="0" borderId="0" xfId="1" applyFont="1" applyAlignment="1">
      <alignment horizontal="right"/>
    </xf>
    <xf numFmtId="44" fontId="33" fillId="0" borderId="7" xfId="1" applyFont="1" applyBorder="1" applyAlignment="1">
      <alignment horizontal="right"/>
    </xf>
    <xf numFmtId="0" fontId="12" fillId="2" borderId="11" xfId="0" applyFont="1" applyFill="1" applyBorder="1"/>
    <xf numFmtId="0" fontId="12" fillId="2" borderId="10" xfId="0" applyFont="1" applyFill="1" applyBorder="1"/>
    <xf numFmtId="0" fontId="12" fillId="2" borderId="10" xfId="0" applyFont="1" applyFill="1" applyBorder="1" applyAlignment="1">
      <alignment horizontal="center"/>
    </xf>
    <xf numFmtId="0" fontId="12" fillId="2" borderId="10" xfId="1" applyNumberFormat="1" applyFont="1" applyFill="1" applyBorder="1" applyAlignment="1">
      <alignment horizontal="center"/>
    </xf>
    <xf numFmtId="0" fontId="12" fillId="2" borderId="10" xfId="1" applyNumberFormat="1" applyFont="1" applyFill="1" applyBorder="1" applyAlignment="1">
      <alignment horizontal="right"/>
    </xf>
    <xf numFmtId="0" fontId="12" fillId="2" borderId="9" xfId="1" applyNumberFormat="1" applyFont="1" applyFill="1" applyBorder="1" applyAlignment="1">
      <alignment horizontal="right"/>
    </xf>
    <xf numFmtId="0" fontId="0" fillId="0" borderId="8" xfId="0" applyBorder="1"/>
    <xf numFmtId="0" fontId="0" fillId="0" borderId="0" xfId="0"/>
    <xf numFmtId="8" fontId="0" fillId="0" borderId="0" xfId="1" applyNumberFormat="1" applyFont="1"/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9" fillId="0" borderId="18" xfId="0" applyFont="1" applyBorder="1" applyAlignment="1">
      <alignment horizontal="justify" wrapText="1"/>
    </xf>
    <xf numFmtId="0" fontId="0" fillId="0" borderId="17" xfId="0" applyBorder="1" applyAlignment="1">
      <alignment horizontal="justify" wrapText="1"/>
    </xf>
    <xf numFmtId="0" fontId="0" fillId="0" borderId="16" xfId="0" applyBorder="1" applyAlignment="1">
      <alignment horizontal="justify" wrapText="1"/>
    </xf>
    <xf numFmtId="0" fontId="14" fillId="0" borderId="15" xfId="3" applyBorder="1" applyAlignment="1">
      <alignment horizontal="lef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00399" cy="866775"/>
    <xdr:pic>
      <xdr:nvPicPr>
        <xdr:cNvPr id="2" name="Picture 1">
          <a:extLst>
            <a:ext uri="{FF2B5EF4-FFF2-40B4-BE49-F238E27FC236}">
              <a16:creationId xmlns:a16="http://schemas.microsoft.com/office/drawing/2014/main" id="{126448C4-3760-48D5-8DD6-1AB381799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399" cy="866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00399" cy="866775"/>
    <xdr:pic>
      <xdr:nvPicPr>
        <xdr:cNvPr id="2" name="Picture 1">
          <a:extLst>
            <a:ext uri="{FF2B5EF4-FFF2-40B4-BE49-F238E27FC236}">
              <a16:creationId xmlns:a16="http://schemas.microsoft.com/office/drawing/2014/main" id="{879AE60C-ECA5-4D74-8DAE-E3FB41EC5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399" cy="866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acy/Documents/Fini,%20Sandy%20proposal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e off"/>
      <sheetName val=" Proposal"/>
      <sheetName val="Bid Tracking"/>
      <sheetName val="Project Scope"/>
      <sheetName val="Travel Costs"/>
      <sheetName val="Project Checklist"/>
      <sheetName val="Ref  (2)"/>
      <sheetName val="Cost ref"/>
    </sheetNames>
    <sheetDataSet>
      <sheetData sheetId="0">
        <row r="2">
          <cell r="C2" t="str">
            <v>Project Name:</v>
          </cell>
          <cell r="J2" t="str">
            <v>GC Contact Name:</v>
          </cell>
          <cell r="M2" t="str">
            <v xml:space="preserve"> Sales Contact:</v>
          </cell>
          <cell r="P2" t="str">
            <v>Plan Date:</v>
          </cell>
        </row>
        <row r="4">
          <cell r="C4" t="str">
            <v>Project Location:</v>
          </cell>
          <cell r="E4" t="str">
            <v xml:space="preserve">Architect Info </v>
          </cell>
          <cell r="J4" t="str">
            <v>GC Contact Phone:</v>
          </cell>
          <cell r="M4" t="str">
            <v xml:space="preserve"> Sales Phone:</v>
          </cell>
          <cell r="P4" t="str">
            <v>Quote Number:</v>
          </cell>
        </row>
        <row r="6">
          <cell r="E6" t="str">
            <v xml:space="preserve">GC Address </v>
          </cell>
          <cell r="J6" t="str">
            <v>GC Contact Email:</v>
          </cell>
          <cell r="M6" t="str">
            <v>Sales Email:</v>
          </cell>
        </row>
        <row r="7">
          <cell r="M7"/>
          <cell r="N7"/>
          <cell r="O7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.divernieri@montanacontracting.com" TargetMode="External"/><Relationship Id="rId1" Type="http://schemas.openxmlformats.org/officeDocument/2006/relationships/hyperlink" Target="mailto:Tandrews@livingrockcustom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andrews@livingrockcustom.co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5393-419E-41F0-8D09-B29E07CA05DB}">
  <dimension ref="A1:U49"/>
  <sheetViews>
    <sheetView tabSelected="1" topLeftCell="A18" zoomScaleNormal="100" workbookViewId="0">
      <selection activeCell="K31" sqref="K31:L31"/>
    </sheetView>
  </sheetViews>
  <sheetFormatPr defaultRowHeight="15"/>
  <cols>
    <col min="1" max="1" width="10" customWidth="1"/>
    <col min="2" max="2" width="6.7109375" customWidth="1"/>
    <col min="3" max="3" width="9" customWidth="1"/>
    <col min="4" max="4" width="5.85546875" customWidth="1"/>
    <col min="5" max="5" width="7.85546875" customWidth="1"/>
    <col min="6" max="6" width="11" customWidth="1"/>
    <col min="7" max="7" width="9.5703125" customWidth="1"/>
    <col min="8" max="8" width="8.28515625" customWidth="1"/>
    <col min="9" max="9" width="9" customWidth="1"/>
    <col min="10" max="10" width="7.7109375" customWidth="1"/>
    <col min="11" max="11" width="9" customWidth="1"/>
    <col min="12" max="12" width="4.85546875" customWidth="1"/>
  </cols>
  <sheetData>
    <row r="1" spans="1:21" ht="34.5">
      <c r="B1" s="17"/>
      <c r="C1" s="17"/>
      <c r="D1" s="17"/>
      <c r="E1" s="17"/>
      <c r="F1" s="17"/>
      <c r="G1" s="17"/>
      <c r="H1" s="17"/>
      <c r="I1" s="73" t="s">
        <v>19</v>
      </c>
      <c r="J1" s="73"/>
      <c r="K1" s="73"/>
      <c r="L1" s="73"/>
    </row>
    <row r="2" spans="1:21" ht="34.5">
      <c r="B2" s="17"/>
      <c r="C2" s="17"/>
      <c r="D2" s="17"/>
      <c r="E2" s="17"/>
      <c r="F2" s="17"/>
      <c r="G2" s="17"/>
      <c r="H2" s="17"/>
      <c r="I2" s="73"/>
      <c r="J2" s="73"/>
      <c r="K2" s="73"/>
      <c r="L2" s="73"/>
    </row>
    <row r="3" spans="1:21" ht="19.5" thickBot="1">
      <c r="B3" s="15" t="s">
        <v>18</v>
      </c>
      <c r="C3" s="16"/>
      <c r="D3" s="16"/>
      <c r="K3" s="74"/>
      <c r="L3" s="74"/>
    </row>
    <row r="4" spans="1:21" ht="20.25" thickTop="1" thickBot="1">
      <c r="B4" s="15" t="s">
        <v>27</v>
      </c>
      <c r="C4" s="15"/>
      <c r="D4" s="15"/>
      <c r="E4" s="14"/>
      <c r="I4" s="79" t="str">
        <f>'[1]Take off'!P4</f>
        <v>Quote Number:</v>
      </c>
      <c r="J4" s="80"/>
      <c r="K4" s="81"/>
      <c r="L4" s="82"/>
    </row>
    <row r="5" spans="1:21" ht="19.5" thickTop="1">
      <c r="B5" s="84"/>
      <c r="C5" s="84"/>
      <c r="D5" s="84"/>
      <c r="J5" s="13"/>
      <c r="K5" s="13"/>
      <c r="L5" s="12">
        <f>SUM('[1]Take off'!M7:O7)</f>
        <v>0</v>
      </c>
    </row>
    <row r="6" spans="1:21" ht="2.25" customHeight="1" thickBot="1"/>
    <row r="7" spans="1:21" ht="17.25" thickTop="1" thickBot="1">
      <c r="A7" s="51" t="str">
        <f>'[1]Take off'!C2</f>
        <v>Project Name:</v>
      </c>
      <c r="B7" s="51"/>
      <c r="C7" s="85"/>
      <c r="D7" s="85"/>
      <c r="E7" s="85"/>
      <c r="F7" s="85"/>
      <c r="G7" s="51" t="str">
        <f>'[1]Take off'!J2</f>
        <v>GC Contact Name:</v>
      </c>
      <c r="H7" s="51"/>
      <c r="I7" s="75" t="s">
        <v>34</v>
      </c>
      <c r="J7" s="76"/>
      <c r="K7" s="76"/>
      <c r="L7" s="76"/>
    </row>
    <row r="8" spans="1:21" ht="17.25" thickTop="1" thickBot="1">
      <c r="A8" s="64" t="str">
        <f>'[1]Take off'!C4</f>
        <v>Project Location:</v>
      </c>
      <c r="B8" s="65"/>
      <c r="C8" s="86" t="s">
        <v>32</v>
      </c>
      <c r="D8" s="87"/>
      <c r="E8" s="87"/>
      <c r="F8" s="88"/>
      <c r="G8" s="51" t="str">
        <f>'[1]Take off'!J4</f>
        <v>GC Contact Phone:</v>
      </c>
      <c r="H8" s="51"/>
      <c r="I8" s="75" t="s">
        <v>35</v>
      </c>
      <c r="J8" s="76"/>
      <c r="K8" s="76"/>
      <c r="L8" s="76"/>
    </row>
    <row r="9" spans="1:21" ht="17.25" thickTop="1" thickBot="1">
      <c r="A9" s="64" t="s">
        <v>20</v>
      </c>
      <c r="B9" s="65"/>
      <c r="C9" s="89" t="s">
        <v>29</v>
      </c>
      <c r="D9" s="67"/>
      <c r="E9" s="67"/>
      <c r="F9" s="68"/>
      <c r="G9" s="51" t="str">
        <f>'[1]Take off'!J6</f>
        <v>GC Contact Email:</v>
      </c>
      <c r="H9" s="51"/>
      <c r="I9" s="77" t="s">
        <v>36</v>
      </c>
      <c r="J9" s="78"/>
      <c r="K9" s="78"/>
      <c r="L9" s="78"/>
    </row>
    <row r="10" spans="1:21" ht="17.25" thickTop="1" thickBot="1">
      <c r="A10" s="64" t="str">
        <f>'[1]Take off'!E6</f>
        <v xml:space="preserve">GC Address </v>
      </c>
      <c r="B10" s="83"/>
      <c r="C10" s="90" t="s">
        <v>30</v>
      </c>
      <c r="D10" s="67"/>
      <c r="E10" s="67"/>
      <c r="F10" s="68"/>
      <c r="G10" s="51" t="str">
        <f>'[1]Take off'!M2</f>
        <v xml:space="preserve"> Sales Contact:</v>
      </c>
      <c r="H10" s="51"/>
      <c r="I10" s="91" t="s">
        <v>16</v>
      </c>
      <c r="J10" s="91"/>
      <c r="K10" s="91"/>
      <c r="L10" s="91"/>
    </row>
    <row r="11" spans="1:21" ht="17.25" thickTop="1" thickBot="1">
      <c r="A11" s="64" t="s">
        <v>25</v>
      </c>
      <c r="B11" s="65"/>
      <c r="C11" s="66" t="s">
        <v>31</v>
      </c>
      <c r="D11" s="67"/>
      <c r="E11" s="67"/>
      <c r="F11" s="68"/>
      <c r="G11" s="51" t="str">
        <f>'[1]Take off'!M4</f>
        <v xml:space="preserve"> Sales Phone:</v>
      </c>
      <c r="H11" s="51"/>
      <c r="I11" s="52" t="s">
        <v>15</v>
      </c>
      <c r="J11" s="52"/>
      <c r="K11" s="52"/>
      <c r="L11" s="52"/>
    </row>
    <row r="12" spans="1:21" ht="17.25" thickTop="1" thickBot="1">
      <c r="A12" s="64" t="str">
        <f>'[1]Take off'!P2</f>
        <v>Plan Date:</v>
      </c>
      <c r="B12" s="69"/>
      <c r="C12" s="66" t="s">
        <v>33</v>
      </c>
      <c r="D12" s="67"/>
      <c r="E12" s="67"/>
      <c r="F12" s="68"/>
      <c r="G12" s="51" t="str">
        <f>'[1]Take off'!M6</f>
        <v>Sales Email:</v>
      </c>
      <c r="H12" s="51"/>
      <c r="I12" s="57" t="s">
        <v>14</v>
      </c>
      <c r="J12" s="58"/>
      <c r="K12" s="58"/>
      <c r="L12" s="58"/>
      <c r="O12" s="29"/>
    </row>
    <row r="13" spans="1:21" ht="16.5" thickTop="1" thickBot="1">
      <c r="A13" s="54" t="s">
        <v>13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  <c r="O13" s="29"/>
    </row>
    <row r="14" spans="1:21">
      <c r="A14" s="70" t="s">
        <v>54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2"/>
      <c r="O14" s="29"/>
    </row>
    <row r="15" spans="1:21" ht="15.75" thickBot="1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1"/>
      <c r="O15" s="29"/>
    </row>
    <row r="16" spans="1:21" ht="15.75" thickBot="1">
      <c r="A16" s="45" t="s">
        <v>12</v>
      </c>
      <c r="B16" s="46"/>
      <c r="C16" s="46"/>
      <c r="D16" s="46"/>
      <c r="E16" s="47" t="s">
        <v>11</v>
      </c>
      <c r="F16" s="47"/>
      <c r="G16" s="47" t="s">
        <v>10</v>
      </c>
      <c r="H16" s="47"/>
      <c r="I16" s="53" t="s">
        <v>9</v>
      </c>
      <c r="J16" s="53"/>
      <c r="K16" s="62" t="s">
        <v>8</v>
      </c>
      <c r="L16" s="63"/>
      <c r="O16" s="29"/>
      <c r="P16" s="10"/>
      <c r="Q16" s="10"/>
      <c r="R16" s="10"/>
      <c r="S16" s="10"/>
      <c r="T16" s="10"/>
      <c r="U16" s="10"/>
    </row>
    <row r="17" spans="1:15">
      <c r="A17" s="43" t="s">
        <v>21</v>
      </c>
      <c r="B17" s="44"/>
      <c r="C17" s="44"/>
      <c r="D17" s="44"/>
      <c r="E17" s="41"/>
      <c r="F17" s="41"/>
      <c r="G17" s="42"/>
      <c r="H17" s="41"/>
      <c r="I17" s="41"/>
      <c r="J17" s="41"/>
      <c r="K17" s="39"/>
      <c r="L17" s="40"/>
      <c r="O17" s="29"/>
    </row>
    <row r="18" spans="1:15" ht="15" customHeight="1">
      <c r="A18" s="48" t="s">
        <v>37</v>
      </c>
      <c r="B18" s="49"/>
      <c r="C18" s="49"/>
      <c r="D18" s="49"/>
      <c r="E18" s="34"/>
      <c r="F18" s="34"/>
      <c r="G18" s="34"/>
      <c r="H18" s="34"/>
      <c r="I18" s="34"/>
      <c r="J18" s="34"/>
      <c r="K18" s="35"/>
      <c r="L18" s="36"/>
    </row>
    <row r="19" spans="1:15" ht="15" customHeight="1">
      <c r="A19" s="50" t="s">
        <v>44</v>
      </c>
      <c r="B19" s="33"/>
      <c r="C19" s="33"/>
      <c r="D19" s="33"/>
      <c r="E19" s="34" t="s">
        <v>38</v>
      </c>
      <c r="F19" s="34"/>
      <c r="G19" s="34"/>
      <c r="H19" s="34"/>
      <c r="I19" s="34">
        <v>4</v>
      </c>
      <c r="J19" s="34"/>
      <c r="K19" s="35">
        <v>376</v>
      </c>
      <c r="L19" s="36"/>
    </row>
    <row r="20" spans="1:15" ht="15" customHeight="1">
      <c r="A20" s="37" t="s">
        <v>43</v>
      </c>
      <c r="B20" s="38"/>
      <c r="C20" s="38"/>
      <c r="D20" s="38"/>
      <c r="E20" s="34" t="s">
        <v>38</v>
      </c>
      <c r="F20" s="34"/>
      <c r="G20" s="34"/>
      <c r="H20" s="34"/>
      <c r="I20" s="34">
        <v>4</v>
      </c>
      <c r="J20" s="34"/>
      <c r="K20" s="35">
        <v>312</v>
      </c>
      <c r="L20" s="36"/>
      <c r="N20" s="28"/>
    </row>
    <row r="21" spans="1:15" ht="15" customHeight="1">
      <c r="A21" s="32" t="s">
        <v>42</v>
      </c>
      <c r="B21" s="33"/>
      <c r="C21" s="33"/>
      <c r="D21" s="33"/>
      <c r="E21" s="34" t="s">
        <v>38</v>
      </c>
      <c r="F21" s="34"/>
      <c r="G21" s="34"/>
      <c r="H21" s="34"/>
      <c r="I21" s="34">
        <v>3</v>
      </c>
      <c r="J21" s="34"/>
      <c r="K21" s="35">
        <v>234</v>
      </c>
      <c r="L21" s="36"/>
      <c r="N21" s="28"/>
    </row>
    <row r="22" spans="1:15" ht="15" customHeight="1">
      <c r="A22" s="32" t="s">
        <v>39</v>
      </c>
      <c r="B22" s="33"/>
      <c r="C22" s="33"/>
      <c r="D22" s="33"/>
      <c r="E22" s="34"/>
      <c r="F22" s="34"/>
      <c r="G22" s="34"/>
      <c r="H22" s="34"/>
      <c r="I22" s="34">
        <v>2</v>
      </c>
      <c r="J22" s="34"/>
      <c r="K22" s="35">
        <v>650</v>
      </c>
      <c r="L22" s="36"/>
      <c r="N22" s="28"/>
    </row>
    <row r="23" spans="1:15" ht="15" customHeight="1">
      <c r="A23" s="32" t="s">
        <v>40</v>
      </c>
      <c r="B23" s="33"/>
      <c r="C23" s="33"/>
      <c r="D23" s="33"/>
      <c r="E23" s="34"/>
      <c r="F23" s="34"/>
      <c r="G23" s="34"/>
      <c r="H23" s="34"/>
      <c r="I23" s="34">
        <v>4</v>
      </c>
      <c r="J23" s="34"/>
      <c r="K23" s="35">
        <v>4392</v>
      </c>
      <c r="L23" s="36"/>
      <c r="N23" s="28"/>
    </row>
    <row r="24" spans="1:15" ht="15" customHeight="1">
      <c r="A24" s="32" t="s">
        <v>41</v>
      </c>
      <c r="B24" s="33"/>
      <c r="C24" s="33"/>
      <c r="D24" s="33"/>
      <c r="E24" s="34" t="s">
        <v>38</v>
      </c>
      <c r="F24" s="34"/>
      <c r="G24" s="34"/>
      <c r="H24" s="34"/>
      <c r="I24" s="34">
        <v>3</v>
      </c>
      <c r="J24" s="34"/>
      <c r="K24" s="35">
        <v>195</v>
      </c>
      <c r="L24" s="36"/>
      <c r="N24" s="28"/>
    </row>
    <row r="25" spans="1:15" ht="15" customHeight="1">
      <c r="A25" s="32" t="s">
        <v>45</v>
      </c>
      <c r="B25" s="33"/>
      <c r="C25" s="33"/>
      <c r="D25" s="33"/>
      <c r="E25" s="34" t="s">
        <v>38</v>
      </c>
      <c r="F25" s="34"/>
      <c r="G25" s="34"/>
      <c r="H25" s="34"/>
      <c r="I25" s="34">
        <v>2</v>
      </c>
      <c r="J25" s="34"/>
      <c r="K25" s="35">
        <v>200</v>
      </c>
      <c r="L25" s="36"/>
      <c r="N25" s="28"/>
    </row>
    <row r="26" spans="1:15" ht="15" customHeight="1">
      <c r="A26" s="32" t="s">
        <v>46</v>
      </c>
      <c r="B26" s="33"/>
      <c r="C26" s="33"/>
      <c r="D26" s="33"/>
      <c r="E26" s="34" t="s">
        <v>38</v>
      </c>
      <c r="F26" s="34"/>
      <c r="G26" s="34"/>
      <c r="H26" s="34"/>
      <c r="I26" s="34">
        <v>2</v>
      </c>
      <c r="J26" s="34"/>
      <c r="K26" s="35">
        <v>196</v>
      </c>
      <c r="L26" s="36"/>
      <c r="N26" s="28"/>
    </row>
    <row r="27" spans="1:15" ht="15" customHeight="1">
      <c r="A27" s="32" t="s">
        <v>47</v>
      </c>
      <c r="B27" s="33"/>
      <c r="C27" s="33"/>
      <c r="D27" s="33"/>
      <c r="E27" s="34" t="s">
        <v>38</v>
      </c>
      <c r="F27" s="34"/>
      <c r="G27" s="34"/>
      <c r="H27" s="34"/>
      <c r="I27" s="34">
        <v>2</v>
      </c>
      <c r="J27" s="34"/>
      <c r="K27" s="35">
        <v>150</v>
      </c>
      <c r="L27" s="36"/>
      <c r="N27" s="28"/>
    </row>
    <row r="28" spans="1:15" ht="15" customHeight="1">
      <c r="A28" s="32" t="s">
        <v>48</v>
      </c>
      <c r="B28" s="33"/>
      <c r="C28" s="33"/>
      <c r="D28" s="33"/>
      <c r="E28" s="34" t="s">
        <v>38</v>
      </c>
      <c r="F28" s="34"/>
      <c r="G28" s="34"/>
      <c r="H28" s="34"/>
      <c r="I28" s="34">
        <v>2</v>
      </c>
      <c r="J28" s="34"/>
      <c r="K28" s="35">
        <v>180</v>
      </c>
      <c r="L28" s="36"/>
      <c r="N28" s="27"/>
    </row>
    <row r="29" spans="1:15" ht="15" customHeight="1">
      <c r="A29" s="111" t="s">
        <v>49</v>
      </c>
      <c r="B29" s="112"/>
      <c r="C29" s="112"/>
      <c r="D29" s="112"/>
      <c r="E29" s="34"/>
      <c r="F29" s="34"/>
      <c r="G29" s="34"/>
      <c r="H29" s="34"/>
      <c r="I29" s="34"/>
      <c r="J29" s="34"/>
      <c r="K29" s="35"/>
      <c r="L29" s="36"/>
      <c r="N29" s="27"/>
    </row>
    <row r="30" spans="1:15" ht="15" customHeight="1">
      <c r="A30" s="32" t="s">
        <v>50</v>
      </c>
      <c r="B30" s="33"/>
      <c r="C30" s="33"/>
      <c r="D30" s="33"/>
      <c r="E30" s="34" t="s">
        <v>38</v>
      </c>
      <c r="F30" s="34"/>
      <c r="G30" s="34"/>
      <c r="H30" s="34"/>
      <c r="I30" s="34">
        <v>2</v>
      </c>
      <c r="J30" s="34"/>
      <c r="K30" s="35">
        <v>2748</v>
      </c>
      <c r="L30" s="36"/>
      <c r="N30" s="27"/>
    </row>
    <row r="31" spans="1:15" ht="15" customHeight="1">
      <c r="A31" s="32" t="s">
        <v>51</v>
      </c>
      <c r="B31" s="33"/>
      <c r="C31" s="33"/>
      <c r="D31" s="33"/>
      <c r="E31" s="34" t="s">
        <v>38</v>
      </c>
      <c r="F31" s="34"/>
      <c r="G31" s="34"/>
      <c r="H31" s="34"/>
      <c r="I31" s="34">
        <v>1</v>
      </c>
      <c r="J31" s="34"/>
      <c r="K31" s="35">
        <v>1275</v>
      </c>
      <c r="L31" s="36"/>
      <c r="N31" s="27"/>
    </row>
    <row r="32" spans="1:15" ht="15" customHeight="1">
      <c r="A32" s="32" t="s">
        <v>52</v>
      </c>
      <c r="B32" s="33"/>
      <c r="C32" s="33"/>
      <c r="D32" s="33"/>
      <c r="E32" s="34" t="s">
        <v>38</v>
      </c>
      <c r="F32" s="34"/>
      <c r="G32" s="34"/>
      <c r="H32" s="34"/>
      <c r="I32" s="34">
        <v>1</v>
      </c>
      <c r="J32" s="34"/>
      <c r="K32" s="35">
        <v>1575</v>
      </c>
      <c r="L32" s="36"/>
      <c r="N32" s="27"/>
    </row>
    <row r="33" spans="1:14" ht="15" customHeight="1">
      <c r="A33" s="32" t="s">
        <v>53</v>
      </c>
      <c r="B33" s="33"/>
      <c r="C33" s="33"/>
      <c r="D33" s="33"/>
      <c r="E33" s="34"/>
      <c r="F33" s="34"/>
      <c r="G33" s="34"/>
      <c r="H33" s="34"/>
      <c r="I33" s="34"/>
      <c r="J33" s="34"/>
      <c r="K33" s="35">
        <v>562</v>
      </c>
      <c r="L33" s="36"/>
      <c r="N33" s="27"/>
    </row>
    <row r="34" spans="1:14" ht="15" customHeight="1" thickBot="1">
      <c r="A34" s="30"/>
      <c r="B34" s="31"/>
      <c r="C34" s="31"/>
      <c r="D34" s="31"/>
      <c r="E34" s="31"/>
      <c r="F34" s="31"/>
      <c r="G34" s="94"/>
      <c r="H34" s="94"/>
      <c r="I34" s="94"/>
      <c r="J34" s="94"/>
      <c r="K34" s="92"/>
      <c r="L34" s="93"/>
    </row>
    <row r="35" spans="1:14" ht="15.75">
      <c r="I35" s="96" t="s">
        <v>7</v>
      </c>
      <c r="J35" s="97"/>
      <c r="K35" s="103">
        <f>SUM(K18:K33)</f>
        <v>13045</v>
      </c>
      <c r="L35" s="104"/>
    </row>
    <row r="36" spans="1:14" ht="15.75">
      <c r="B36" s="102"/>
      <c r="C36" s="102"/>
      <c r="D36" s="102"/>
      <c r="E36" s="102"/>
      <c r="F36" s="102"/>
      <c r="G36" s="102"/>
      <c r="I36" s="96" t="s">
        <v>28</v>
      </c>
      <c r="J36" s="97"/>
      <c r="K36" s="105">
        <f>K35*80%*8.125%</f>
        <v>847.92500000000007</v>
      </c>
      <c r="L36" s="106"/>
    </row>
    <row r="37" spans="1:14">
      <c r="B37" s="102"/>
      <c r="C37" s="102"/>
      <c r="D37" s="102"/>
      <c r="E37" s="102"/>
      <c r="F37" s="102"/>
      <c r="G37" s="102"/>
      <c r="I37" s="24"/>
      <c r="J37" s="25"/>
      <c r="K37" s="107"/>
      <c r="L37" s="108"/>
    </row>
    <row r="38" spans="1:14" hidden="1">
      <c r="I38" s="26"/>
      <c r="J38" s="6"/>
      <c r="K38" s="100"/>
      <c r="L38" s="101"/>
    </row>
    <row r="39" spans="1:14" ht="16.5" thickBot="1">
      <c r="I39" s="98" t="s">
        <v>6</v>
      </c>
      <c r="J39" s="99"/>
      <c r="K39" s="109">
        <f>K35+K36</f>
        <v>13892.924999999999</v>
      </c>
      <c r="L39" s="110"/>
    </row>
    <row r="41" spans="1:14" ht="15" customHeight="1">
      <c r="A41" s="95" t="s">
        <v>26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</row>
    <row r="42" spans="1:14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</row>
    <row r="43" spans="1:14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</row>
    <row r="44" spans="1:14">
      <c r="A44" s="5"/>
      <c r="B44" s="5"/>
      <c r="C44" s="5"/>
      <c r="D44" s="5"/>
      <c r="E44" s="5"/>
      <c r="I44" s="5"/>
      <c r="J44" s="5"/>
      <c r="K44" s="5"/>
      <c r="L44" s="5"/>
    </row>
    <row r="45" spans="1:14">
      <c r="A45" s="4" t="s">
        <v>4</v>
      </c>
      <c r="E45" s="3" t="s">
        <v>0</v>
      </c>
      <c r="I45" s="4" t="s">
        <v>3</v>
      </c>
      <c r="L45" s="3" t="s">
        <v>0</v>
      </c>
    </row>
    <row r="46" spans="1:14">
      <c r="A46" s="5"/>
      <c r="B46" s="5"/>
      <c r="C46" s="5"/>
      <c r="D46" s="5"/>
      <c r="E46" s="5"/>
      <c r="I46" s="5"/>
      <c r="J46" s="5"/>
      <c r="K46" s="5"/>
      <c r="L46" s="5"/>
    </row>
    <row r="47" spans="1:14">
      <c r="A47" s="4" t="s">
        <v>2</v>
      </c>
      <c r="E47" s="3" t="s">
        <v>0</v>
      </c>
      <c r="I47" s="4" t="s">
        <v>1</v>
      </c>
      <c r="L47" s="3" t="s">
        <v>0</v>
      </c>
    </row>
    <row r="49" spans="2:12">
      <c r="B49" s="2"/>
      <c r="C49" s="2"/>
      <c r="D49" s="2"/>
      <c r="E49" s="2"/>
      <c r="F49" s="2"/>
      <c r="G49" s="2"/>
      <c r="H49" s="2"/>
      <c r="I49" s="2"/>
      <c r="J49" s="2"/>
      <c r="K49" s="2"/>
      <c r="L49" s="1"/>
    </row>
  </sheetData>
  <mergeCells count="135">
    <mergeCell ref="A27:D27"/>
    <mergeCell ref="G34:H34"/>
    <mergeCell ref="E27:F27"/>
    <mergeCell ref="A30:D30"/>
    <mergeCell ref="E30:F30"/>
    <mergeCell ref="G30:H30"/>
    <mergeCell ref="A29:D29"/>
    <mergeCell ref="E29:F29"/>
    <mergeCell ref="G29:H29"/>
    <mergeCell ref="G27:H27"/>
    <mergeCell ref="A28:D28"/>
    <mergeCell ref="E28:F28"/>
    <mergeCell ref="G28:H28"/>
    <mergeCell ref="G33:H33"/>
    <mergeCell ref="A31:D31"/>
    <mergeCell ref="E31:F31"/>
    <mergeCell ref="A41:L43"/>
    <mergeCell ref="I35:J35"/>
    <mergeCell ref="I36:J36"/>
    <mergeCell ref="I39:J39"/>
    <mergeCell ref="K38:L38"/>
    <mergeCell ref="B36:G37"/>
    <mergeCell ref="K35:L35"/>
    <mergeCell ref="K36:L36"/>
    <mergeCell ref="K37:L37"/>
    <mergeCell ref="K39:L39"/>
    <mergeCell ref="K34:L34"/>
    <mergeCell ref="K27:L27"/>
    <mergeCell ref="I27:J27"/>
    <mergeCell ref="I34:J34"/>
    <mergeCell ref="K28:L28"/>
    <mergeCell ref="K33:L33"/>
    <mergeCell ref="I30:J30"/>
    <mergeCell ref="K30:L30"/>
    <mergeCell ref="I29:J29"/>
    <mergeCell ref="K29:L29"/>
    <mergeCell ref="I28:J28"/>
    <mergeCell ref="I33:J33"/>
    <mergeCell ref="I1:L2"/>
    <mergeCell ref="K3:L3"/>
    <mergeCell ref="I7:L7"/>
    <mergeCell ref="I8:L8"/>
    <mergeCell ref="I9:L9"/>
    <mergeCell ref="I4:J4"/>
    <mergeCell ref="K4:L4"/>
    <mergeCell ref="A7:B7"/>
    <mergeCell ref="A10:B10"/>
    <mergeCell ref="A8:B8"/>
    <mergeCell ref="A9:B9"/>
    <mergeCell ref="B5:D5"/>
    <mergeCell ref="C7:F7"/>
    <mergeCell ref="C8:F8"/>
    <mergeCell ref="C9:F9"/>
    <mergeCell ref="C10:F10"/>
    <mergeCell ref="G7:H7"/>
    <mergeCell ref="I10:L10"/>
    <mergeCell ref="G8:H8"/>
    <mergeCell ref="G9:H9"/>
    <mergeCell ref="G10:H10"/>
    <mergeCell ref="A16:D16"/>
    <mergeCell ref="G16:H16"/>
    <mergeCell ref="A18:D18"/>
    <mergeCell ref="A19:D19"/>
    <mergeCell ref="E19:F19"/>
    <mergeCell ref="G18:H18"/>
    <mergeCell ref="G19:H19"/>
    <mergeCell ref="G11:H11"/>
    <mergeCell ref="I11:L11"/>
    <mergeCell ref="I16:J16"/>
    <mergeCell ref="A13:L13"/>
    <mergeCell ref="I12:L12"/>
    <mergeCell ref="A15:L15"/>
    <mergeCell ref="E16:F16"/>
    <mergeCell ref="K16:L16"/>
    <mergeCell ref="A11:B11"/>
    <mergeCell ref="C11:F11"/>
    <mergeCell ref="C12:F12"/>
    <mergeCell ref="A12:B12"/>
    <mergeCell ref="G12:H12"/>
    <mergeCell ref="A14:L14"/>
    <mergeCell ref="K20:L20"/>
    <mergeCell ref="I18:J18"/>
    <mergeCell ref="K17:L17"/>
    <mergeCell ref="I17:J17"/>
    <mergeCell ref="E18:F18"/>
    <mergeCell ref="G17:H17"/>
    <mergeCell ref="E17:F17"/>
    <mergeCell ref="A17:D17"/>
    <mergeCell ref="I19:J19"/>
    <mergeCell ref="K18:L18"/>
    <mergeCell ref="K19:L19"/>
    <mergeCell ref="G24:H24"/>
    <mergeCell ref="I24:J24"/>
    <mergeCell ref="A21:D21"/>
    <mergeCell ref="E21:F21"/>
    <mergeCell ref="G21:H21"/>
    <mergeCell ref="I21:J21"/>
    <mergeCell ref="A22:D22"/>
    <mergeCell ref="E22:F22"/>
    <mergeCell ref="G22:H22"/>
    <mergeCell ref="I22:J22"/>
    <mergeCell ref="K26:L26"/>
    <mergeCell ref="A20:D20"/>
    <mergeCell ref="E20:F20"/>
    <mergeCell ref="G20:H20"/>
    <mergeCell ref="I20:J20"/>
    <mergeCell ref="K21:L21"/>
    <mergeCell ref="K22:L22"/>
    <mergeCell ref="K23:L23"/>
    <mergeCell ref="K24:L24"/>
    <mergeCell ref="K25:L25"/>
    <mergeCell ref="A25:D25"/>
    <mergeCell ref="E25:F25"/>
    <mergeCell ref="G25:H25"/>
    <mergeCell ref="I25:J25"/>
    <mergeCell ref="A26:D26"/>
    <mergeCell ref="E26:F26"/>
    <mergeCell ref="G26:H26"/>
    <mergeCell ref="I26:J26"/>
    <mergeCell ref="A23:D23"/>
    <mergeCell ref="E23:F23"/>
    <mergeCell ref="G23:H23"/>
    <mergeCell ref="I23:J23"/>
    <mergeCell ref="A24:D24"/>
    <mergeCell ref="E24:F24"/>
    <mergeCell ref="A33:D33"/>
    <mergeCell ref="E33:F33"/>
    <mergeCell ref="G31:H31"/>
    <mergeCell ref="I31:J31"/>
    <mergeCell ref="K31:L31"/>
    <mergeCell ref="A32:D32"/>
    <mergeCell ref="E32:F32"/>
    <mergeCell ref="G32:H32"/>
    <mergeCell ref="I32:J32"/>
    <mergeCell ref="K32:L32"/>
  </mergeCells>
  <hyperlinks>
    <hyperlink ref="I12" r:id="rId1" xr:uid="{77653533-14DF-4037-939A-E4DCBF18C158}"/>
    <hyperlink ref="I9" r:id="rId2" display="a.divernieri@montanacontracting.com" xr:uid="{C95A00D5-64E6-427C-814C-6D442A9518EC}"/>
  </hyperlinks>
  <pageMargins left="0.2" right="0.2" top="0.25" bottom="0.25" header="0.3" footer="0.3"/>
  <pageSetup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8BA4-B10D-43B0-95AF-1C233CD140D4}">
  <dimension ref="A1:V59"/>
  <sheetViews>
    <sheetView topLeftCell="A19" workbookViewId="0">
      <selection activeCell="K48" sqref="K48:L48"/>
    </sheetView>
  </sheetViews>
  <sheetFormatPr defaultRowHeight="15"/>
  <cols>
    <col min="1" max="1" width="10" customWidth="1"/>
    <col min="2" max="2" width="8.7109375" customWidth="1"/>
    <col min="3" max="3" width="9" customWidth="1"/>
    <col min="4" max="4" width="16.28515625" customWidth="1"/>
    <col min="5" max="5" width="7.85546875" customWidth="1"/>
    <col min="6" max="6" width="4.28515625" customWidth="1"/>
    <col min="7" max="7" width="9.5703125" customWidth="1"/>
    <col min="8" max="8" width="8.28515625" customWidth="1"/>
    <col min="9" max="9" width="9" customWidth="1"/>
    <col min="10" max="10" width="7.7109375" customWidth="1"/>
    <col min="11" max="12" width="9" customWidth="1"/>
  </cols>
  <sheetData>
    <row r="1" spans="1:21" ht="34.5">
      <c r="B1" s="17"/>
      <c r="C1" s="17"/>
      <c r="D1" s="17"/>
      <c r="E1" s="17"/>
      <c r="F1" s="17"/>
      <c r="G1" s="17"/>
      <c r="H1" s="17"/>
      <c r="I1" s="73" t="s">
        <v>19</v>
      </c>
      <c r="J1" s="73"/>
      <c r="K1" s="73"/>
      <c r="L1" s="73"/>
    </row>
    <row r="2" spans="1:21" ht="34.5">
      <c r="B2" s="17"/>
      <c r="C2" s="17"/>
      <c r="D2" s="17"/>
      <c r="E2" s="17"/>
      <c r="F2" s="17"/>
      <c r="G2" s="17"/>
      <c r="H2" s="17"/>
      <c r="I2" s="73"/>
      <c r="J2" s="73"/>
      <c r="K2" s="73"/>
      <c r="L2" s="73"/>
    </row>
    <row r="3" spans="1:21" ht="19.5" thickBot="1">
      <c r="B3" s="15" t="s">
        <v>18</v>
      </c>
      <c r="C3" s="16"/>
      <c r="D3" s="16"/>
      <c r="K3" s="74"/>
      <c r="L3" s="74"/>
    </row>
    <row r="4" spans="1:21" ht="20.25" thickTop="1" thickBot="1">
      <c r="B4" s="15" t="s">
        <v>17</v>
      </c>
      <c r="C4" s="15"/>
      <c r="D4" s="15"/>
      <c r="E4" s="14"/>
      <c r="I4" s="79" t="str">
        <f>'[1]Take off'!P4</f>
        <v>Quote Number:</v>
      </c>
      <c r="J4" s="80"/>
      <c r="K4" s="81"/>
      <c r="L4" s="82"/>
    </row>
    <row r="5" spans="1:21" ht="19.5" thickTop="1">
      <c r="B5" s="84"/>
      <c r="C5" s="84"/>
      <c r="D5" s="84"/>
      <c r="J5" s="13"/>
      <c r="K5" s="13"/>
      <c r="L5" s="12">
        <f>SUM('[1]Take off'!M7:O7)</f>
        <v>0</v>
      </c>
    </row>
    <row r="6" spans="1:21" ht="2.25" customHeight="1" thickBot="1"/>
    <row r="7" spans="1:21" ht="17.25" thickTop="1" thickBot="1">
      <c r="A7" s="51" t="str">
        <f>'[1]Take off'!C2</f>
        <v>Project Name:</v>
      </c>
      <c r="B7" s="51"/>
      <c r="C7" s="85"/>
      <c r="D7" s="85"/>
      <c r="E7" s="85"/>
      <c r="F7" s="85"/>
      <c r="G7" s="51" t="str">
        <f>'[1]Take off'!J2</f>
        <v>GC Contact Name:</v>
      </c>
      <c r="H7" s="51"/>
      <c r="I7" s="75"/>
      <c r="J7" s="76"/>
      <c r="K7" s="76"/>
      <c r="L7" s="76"/>
    </row>
    <row r="8" spans="1:21" ht="16.5" thickTop="1" thickBot="1">
      <c r="A8" s="64" t="str">
        <f>'[1]Take off'!C4</f>
        <v>Project Location:</v>
      </c>
      <c r="B8" s="65"/>
      <c r="C8" s="153"/>
      <c r="D8" s="154"/>
      <c r="E8" s="154"/>
      <c r="F8" s="155"/>
      <c r="G8" s="51" t="str">
        <f>'[1]Take off'!J4</f>
        <v>GC Contact Phone:</v>
      </c>
      <c r="H8" s="51"/>
      <c r="I8" s="75"/>
      <c r="J8" s="76"/>
      <c r="K8" s="76"/>
      <c r="L8" s="76"/>
    </row>
    <row r="9" spans="1:21" ht="17.25" thickTop="1" thickBot="1">
      <c r="A9" s="64" t="s">
        <v>20</v>
      </c>
      <c r="B9" s="65"/>
      <c r="C9" s="89"/>
      <c r="D9" s="67"/>
      <c r="E9" s="67"/>
      <c r="F9" s="68"/>
      <c r="G9" s="51" t="str">
        <f>'[1]Take off'!J6</f>
        <v>GC Contact Email:</v>
      </c>
      <c r="H9" s="51"/>
      <c r="I9" s="156"/>
      <c r="J9" s="76"/>
      <c r="K9" s="76"/>
      <c r="L9" s="76"/>
    </row>
    <row r="10" spans="1:21" ht="17.25" thickTop="1" thickBot="1">
      <c r="A10" s="64" t="str">
        <f>'[1]Take off'!E6</f>
        <v xml:space="preserve">GC Address </v>
      </c>
      <c r="B10" s="83"/>
      <c r="C10" s="90"/>
      <c r="D10" s="67"/>
      <c r="E10" s="67"/>
      <c r="F10" s="68"/>
      <c r="G10" s="51" t="str">
        <f>'[1]Take off'!M2</f>
        <v xml:space="preserve"> Sales Contact:</v>
      </c>
      <c r="H10" s="51"/>
      <c r="I10" s="91" t="s">
        <v>16</v>
      </c>
      <c r="J10" s="91"/>
      <c r="K10" s="91"/>
      <c r="L10" s="91"/>
    </row>
    <row r="11" spans="1:21" ht="17.25" thickTop="1" thickBot="1">
      <c r="A11" s="64" t="str">
        <f>'[1]Take off'!E4</f>
        <v xml:space="preserve">Architect Info </v>
      </c>
      <c r="B11" s="65"/>
      <c r="C11" s="66"/>
      <c r="D11" s="67"/>
      <c r="E11" s="67"/>
      <c r="F11" s="68"/>
      <c r="G11" s="51" t="str">
        <f>'[1]Take off'!M4</f>
        <v xml:space="preserve"> Sales Phone:</v>
      </c>
      <c r="H11" s="51"/>
      <c r="I11" s="52" t="s">
        <v>15</v>
      </c>
      <c r="J11" s="52"/>
      <c r="K11" s="52"/>
      <c r="L11" s="52"/>
    </row>
    <row r="12" spans="1:21" ht="17.25" thickTop="1" thickBot="1">
      <c r="A12" s="64" t="str">
        <f>'[1]Take off'!P2</f>
        <v>Plan Date:</v>
      </c>
      <c r="B12" s="69"/>
      <c r="C12" s="66" t="s">
        <v>22</v>
      </c>
      <c r="D12" s="67"/>
      <c r="E12" s="67"/>
      <c r="F12" s="68"/>
      <c r="G12" s="51" t="str">
        <f>'[1]Take off'!M6</f>
        <v>Sales Email:</v>
      </c>
      <c r="H12" s="51"/>
      <c r="I12" s="57" t="s">
        <v>14</v>
      </c>
      <c r="J12" s="58"/>
      <c r="K12" s="58"/>
      <c r="L12" s="58"/>
    </row>
    <row r="13" spans="1:21" ht="15.75" thickTop="1">
      <c r="A13" s="144" t="s">
        <v>13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</row>
    <row r="14" spans="1:21">
      <c r="A14" s="147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9"/>
    </row>
    <row r="15" spans="1:21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2"/>
    </row>
    <row r="16" spans="1:21" ht="15.75" thickTop="1">
      <c r="A16" s="135" t="s">
        <v>12</v>
      </c>
      <c r="B16" s="136"/>
      <c r="C16" s="136"/>
      <c r="D16" s="136"/>
      <c r="E16" s="137" t="s">
        <v>11</v>
      </c>
      <c r="F16" s="137"/>
      <c r="G16" s="137" t="s">
        <v>10</v>
      </c>
      <c r="H16" s="137"/>
      <c r="I16" s="138" t="s">
        <v>9</v>
      </c>
      <c r="J16" s="138"/>
      <c r="K16" s="139" t="s">
        <v>8</v>
      </c>
      <c r="L16" s="140"/>
      <c r="O16" s="11"/>
      <c r="P16" s="10"/>
      <c r="Q16" s="10"/>
      <c r="R16" s="10"/>
      <c r="S16" s="10"/>
      <c r="T16" s="10"/>
      <c r="U16" s="10"/>
    </row>
    <row r="17" spans="1:22">
      <c r="A17" s="141"/>
      <c r="B17" s="142"/>
      <c r="C17" s="142"/>
      <c r="D17" s="142"/>
      <c r="E17" s="128"/>
      <c r="F17" s="128"/>
      <c r="G17" s="143"/>
      <c r="H17" s="128"/>
      <c r="I17" s="128"/>
      <c r="J17" s="128"/>
      <c r="K17" s="131"/>
      <c r="L17" s="123"/>
      <c r="O17" s="10"/>
      <c r="P17" s="10"/>
      <c r="Q17" s="10"/>
      <c r="R17" s="10"/>
      <c r="S17" s="10"/>
      <c r="T17" s="10"/>
      <c r="U17" s="10"/>
    </row>
    <row r="18" spans="1:22">
      <c r="A18" s="19"/>
      <c r="B18" s="19"/>
      <c r="C18" s="19"/>
      <c r="D18" s="19"/>
      <c r="E18" s="128"/>
      <c r="F18" s="128"/>
      <c r="G18" s="128"/>
      <c r="H18" s="128"/>
      <c r="I18" s="128"/>
      <c r="J18" s="128"/>
      <c r="K18" s="131"/>
      <c r="L18" s="123"/>
      <c r="O18" s="10"/>
      <c r="T18" s="10"/>
      <c r="U18" s="10"/>
    </row>
    <row r="19" spans="1:22" ht="15" customHeight="1">
      <c r="A19" s="21"/>
      <c r="E19" s="128"/>
      <c r="F19" s="128"/>
      <c r="G19" s="128"/>
      <c r="H19" s="128"/>
      <c r="I19" s="129"/>
      <c r="J19" s="129"/>
      <c r="K19" s="122"/>
      <c r="L19" s="123"/>
      <c r="O19" s="10"/>
      <c r="T19" s="10"/>
      <c r="U19" s="10"/>
    </row>
    <row r="20" spans="1:22">
      <c r="A20" s="21"/>
      <c r="E20" s="128"/>
      <c r="F20" s="128"/>
      <c r="G20" s="128"/>
      <c r="H20" s="128"/>
      <c r="K20" s="131"/>
      <c r="L20" s="132"/>
      <c r="O20" s="10"/>
      <c r="T20" s="10"/>
      <c r="U20" s="10"/>
    </row>
    <row r="21" spans="1:22">
      <c r="A21" s="21"/>
      <c r="E21" s="128"/>
      <c r="F21" s="128"/>
      <c r="G21" s="128"/>
      <c r="H21" s="128"/>
      <c r="K21" s="122"/>
      <c r="L21" s="123"/>
      <c r="O21" s="10"/>
      <c r="T21" s="10"/>
      <c r="U21" s="10"/>
    </row>
    <row r="22" spans="1:22">
      <c r="E22" s="128"/>
      <c r="F22" s="128"/>
      <c r="G22" s="128"/>
      <c r="H22" s="128"/>
      <c r="K22" s="131"/>
      <c r="L22" s="132"/>
      <c r="O22" s="10"/>
      <c r="T22" s="10"/>
      <c r="U22" s="10"/>
    </row>
    <row r="23" spans="1:22" ht="15" customHeight="1">
      <c r="A23" s="19"/>
      <c r="E23" s="128"/>
      <c r="F23" s="128"/>
      <c r="G23" s="128"/>
      <c r="H23" s="128"/>
      <c r="K23" s="133"/>
      <c r="L23" s="134"/>
      <c r="O23" s="10"/>
      <c r="T23" s="10"/>
      <c r="U23" s="10"/>
    </row>
    <row r="24" spans="1:22">
      <c r="A24" s="21"/>
      <c r="E24" s="128"/>
      <c r="F24" s="128"/>
      <c r="G24" s="128"/>
      <c r="H24" s="128"/>
      <c r="K24" s="131"/>
      <c r="L24" s="132"/>
      <c r="O24" s="10"/>
      <c r="T24" s="10"/>
      <c r="U24" s="10"/>
      <c r="V24" s="10"/>
    </row>
    <row r="25" spans="1:22">
      <c r="A25" s="21"/>
      <c r="E25" s="128"/>
      <c r="F25" s="128"/>
      <c r="G25" s="128"/>
      <c r="H25" s="128"/>
      <c r="K25" s="122"/>
      <c r="L25" s="123"/>
      <c r="O25" s="10"/>
      <c r="P25" s="19"/>
      <c r="S25" s="20"/>
      <c r="T25" s="10"/>
      <c r="U25" s="10"/>
      <c r="V25" s="10"/>
    </row>
    <row r="26" spans="1:22">
      <c r="A26" s="19"/>
      <c r="B26" s="19"/>
      <c r="C26" s="19"/>
      <c r="D26" s="19"/>
      <c r="E26" s="128"/>
      <c r="F26" s="128"/>
      <c r="G26" s="128"/>
      <c r="H26" s="128"/>
      <c r="K26" s="122"/>
      <c r="L26" s="123"/>
      <c r="O26" s="10"/>
      <c r="T26" s="10"/>
      <c r="U26" s="10"/>
      <c r="V26" s="10"/>
    </row>
    <row r="27" spans="1:22" ht="15" customHeight="1">
      <c r="E27" s="128"/>
      <c r="F27" s="128"/>
      <c r="G27" s="128"/>
      <c r="H27" s="128"/>
      <c r="I27" s="129"/>
      <c r="J27" s="129"/>
      <c r="K27" s="122"/>
      <c r="L27" s="123"/>
    </row>
    <row r="28" spans="1:22">
      <c r="E28" s="130"/>
      <c r="F28" s="130"/>
      <c r="G28" s="128"/>
      <c r="H28" s="128"/>
      <c r="I28" s="129"/>
      <c r="J28" s="129"/>
      <c r="K28" s="122"/>
      <c r="L28" s="123"/>
    </row>
    <row r="29" spans="1:22">
      <c r="E29" s="130"/>
      <c r="F29" s="130"/>
      <c r="G29" s="128"/>
      <c r="H29" s="128"/>
      <c r="I29" s="129"/>
      <c r="J29" s="129"/>
      <c r="K29" s="122"/>
      <c r="L29" s="123"/>
    </row>
    <row r="30" spans="1:22">
      <c r="E30" s="128"/>
      <c r="F30" s="128"/>
      <c r="G30" s="128"/>
      <c r="H30" s="128"/>
      <c r="I30" s="129"/>
      <c r="J30" s="129"/>
      <c r="K30" s="122"/>
      <c r="L30" s="123"/>
      <c r="P30" s="21"/>
    </row>
    <row r="31" spans="1:22">
      <c r="A31" s="21"/>
      <c r="C31" s="21"/>
      <c r="D31" s="21"/>
      <c r="E31" s="128"/>
      <c r="F31" s="128"/>
      <c r="G31" s="128"/>
      <c r="H31" s="128"/>
      <c r="I31" s="129"/>
      <c r="J31" s="129"/>
      <c r="K31" s="122"/>
      <c r="L31" s="123"/>
    </row>
    <row r="32" spans="1:22">
      <c r="C32" s="21"/>
      <c r="D32" s="21"/>
      <c r="E32" s="18"/>
      <c r="F32" s="18"/>
      <c r="G32" s="18"/>
      <c r="H32" s="18"/>
      <c r="I32" s="23"/>
      <c r="J32" s="23"/>
      <c r="K32" s="122"/>
      <c r="L32" s="123"/>
    </row>
    <row r="33" spans="1:16">
      <c r="C33" s="21"/>
      <c r="D33" s="21"/>
      <c r="E33" s="18"/>
      <c r="F33" s="18"/>
      <c r="G33" s="18"/>
      <c r="H33" s="18"/>
      <c r="I33" s="23"/>
      <c r="J33" s="23"/>
      <c r="K33" s="122"/>
      <c r="L33" s="123"/>
    </row>
    <row r="34" spans="1:16">
      <c r="A34" s="22"/>
      <c r="B34" s="21"/>
      <c r="C34" s="21"/>
      <c r="D34" s="21"/>
      <c r="E34" s="18"/>
      <c r="F34" s="18"/>
      <c r="G34" s="18"/>
      <c r="H34" s="18"/>
      <c r="I34" s="23"/>
      <c r="J34" s="23"/>
      <c r="K34" s="122"/>
      <c r="L34" s="123"/>
    </row>
    <row r="35" spans="1:16">
      <c r="A35" s="21"/>
      <c r="C35" s="21"/>
      <c r="D35" s="21"/>
      <c r="E35" s="18"/>
      <c r="F35" s="18"/>
      <c r="G35" s="18"/>
      <c r="H35" s="18"/>
      <c r="I35" s="23"/>
      <c r="J35" s="23"/>
      <c r="K35" s="122"/>
      <c r="L35" s="123"/>
    </row>
    <row r="36" spans="1:16">
      <c r="A36" s="21"/>
      <c r="C36" s="21"/>
      <c r="D36" s="21"/>
      <c r="E36" s="18"/>
      <c r="F36" s="18"/>
      <c r="G36" s="18"/>
      <c r="H36" s="18"/>
      <c r="I36" s="23"/>
      <c r="J36" s="23"/>
      <c r="K36" s="122"/>
      <c r="L36" s="123"/>
    </row>
    <row r="37" spans="1:16">
      <c r="A37" s="21"/>
      <c r="C37" s="21"/>
      <c r="D37" s="21"/>
      <c r="E37" s="18"/>
      <c r="F37" s="18"/>
      <c r="G37" s="18"/>
      <c r="H37" s="18"/>
      <c r="I37" s="23"/>
      <c r="J37" s="23"/>
      <c r="K37" s="122"/>
      <c r="L37" s="123"/>
    </row>
    <row r="38" spans="1:16">
      <c r="A38" s="21"/>
      <c r="C38" s="21"/>
      <c r="D38" s="21"/>
      <c r="E38" s="18"/>
      <c r="F38" s="18"/>
      <c r="G38" s="18"/>
      <c r="H38" s="18"/>
      <c r="I38" s="23"/>
      <c r="J38" s="23"/>
      <c r="K38" s="122"/>
      <c r="L38" s="123"/>
    </row>
    <row r="39" spans="1:16">
      <c r="A39" s="21"/>
      <c r="C39" s="21"/>
      <c r="D39" s="21"/>
      <c r="E39" s="18"/>
      <c r="F39" s="18"/>
      <c r="G39" s="18"/>
      <c r="H39" s="18"/>
      <c r="I39" s="23"/>
      <c r="J39" s="23"/>
      <c r="K39" s="122"/>
      <c r="L39" s="123"/>
    </row>
    <row r="40" spans="1:16">
      <c r="C40" s="21"/>
      <c r="D40" s="21"/>
      <c r="E40" s="18"/>
      <c r="F40" s="18"/>
      <c r="G40" s="18"/>
      <c r="H40" s="18"/>
      <c r="I40" s="23"/>
      <c r="J40" s="23"/>
      <c r="K40" s="122"/>
      <c r="L40" s="123"/>
    </row>
    <row r="41" spans="1:16">
      <c r="B41" s="21"/>
      <c r="C41" s="21"/>
      <c r="D41" s="21"/>
      <c r="E41" s="18"/>
      <c r="F41" s="18"/>
      <c r="G41" s="18"/>
      <c r="H41" s="18"/>
      <c r="I41" s="23"/>
      <c r="J41" s="23"/>
      <c r="K41" s="122"/>
      <c r="L41" s="123"/>
    </row>
    <row r="42" spans="1:16">
      <c r="C42" s="21"/>
      <c r="D42" s="21"/>
      <c r="E42" s="18"/>
      <c r="F42" s="18"/>
      <c r="G42" s="18"/>
      <c r="H42" s="18"/>
      <c r="I42" s="23"/>
      <c r="J42" s="23"/>
      <c r="K42" s="122"/>
      <c r="L42" s="123"/>
    </row>
    <row r="43" spans="1:16">
      <c r="A43" s="5"/>
      <c r="B43" s="5"/>
      <c r="C43" s="5"/>
      <c r="D43" s="5"/>
      <c r="E43" s="124"/>
      <c r="F43" s="124"/>
      <c r="G43" s="124"/>
      <c r="H43" s="124"/>
      <c r="I43" s="125"/>
      <c r="J43" s="125"/>
      <c r="K43" s="126"/>
      <c r="L43" s="127"/>
    </row>
    <row r="44" spans="1:16">
      <c r="I44" s="119" t="s">
        <v>23</v>
      </c>
      <c r="J44" s="97"/>
      <c r="K44" s="120"/>
      <c r="L44" s="121"/>
    </row>
    <row r="45" spans="1:16">
      <c r="B45" s="102"/>
      <c r="C45" s="102"/>
      <c r="D45" s="102"/>
      <c r="E45" s="102"/>
      <c r="F45" s="102"/>
      <c r="G45" s="102"/>
      <c r="I45" s="119" t="s">
        <v>24</v>
      </c>
      <c r="J45" s="97"/>
      <c r="K45" s="120"/>
      <c r="L45" s="121"/>
      <c r="P45" s="22"/>
    </row>
    <row r="46" spans="1:16">
      <c r="B46" s="102"/>
      <c r="C46" s="102"/>
      <c r="D46" s="102"/>
      <c r="E46" s="102"/>
      <c r="F46" s="102"/>
      <c r="G46" s="102"/>
      <c r="I46" s="9"/>
      <c r="J46" s="8"/>
      <c r="K46" s="120"/>
      <c r="L46" s="121"/>
    </row>
    <row r="47" spans="1:16" hidden="1">
      <c r="I47" s="7"/>
      <c r="J47" s="6"/>
      <c r="K47" s="113"/>
      <c r="L47" s="114"/>
    </row>
    <row r="48" spans="1:16" ht="16.5" thickBot="1">
      <c r="I48" s="115" t="s">
        <v>6</v>
      </c>
      <c r="J48" s="116"/>
      <c r="K48" s="117"/>
      <c r="L48" s="118"/>
    </row>
    <row r="49" spans="1:17" ht="15.75" thickTop="1"/>
    <row r="50" spans="1:17" ht="15" customHeight="1">
      <c r="A50" s="95" t="s">
        <v>5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</row>
    <row r="51" spans="1:17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</row>
    <row r="52" spans="1:17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</row>
    <row r="54" spans="1:17">
      <c r="A54" s="5"/>
      <c r="B54" s="5"/>
      <c r="C54" s="5"/>
      <c r="D54" s="5"/>
      <c r="E54" s="5"/>
      <c r="I54" s="5"/>
      <c r="J54" s="5"/>
      <c r="K54" s="5"/>
      <c r="L54" s="5"/>
    </row>
    <row r="55" spans="1:17">
      <c r="A55" s="4" t="s">
        <v>4</v>
      </c>
      <c r="E55" s="3" t="s">
        <v>0</v>
      </c>
      <c r="I55" s="4" t="s">
        <v>3</v>
      </c>
      <c r="L55" s="3" t="s">
        <v>0</v>
      </c>
      <c r="Q55" s="21"/>
    </row>
    <row r="56" spans="1:17">
      <c r="A56" s="5"/>
      <c r="B56" s="5"/>
      <c r="C56" s="5"/>
      <c r="D56" s="5"/>
      <c r="E56" s="5"/>
      <c r="I56" s="5"/>
      <c r="J56" s="5"/>
      <c r="K56" s="5"/>
      <c r="L56" s="5"/>
      <c r="Q56" s="21"/>
    </row>
    <row r="57" spans="1:17">
      <c r="A57" s="4" t="s">
        <v>2</v>
      </c>
      <c r="E57" s="3" t="s">
        <v>0</v>
      </c>
      <c r="I57" s="4" t="s">
        <v>1</v>
      </c>
      <c r="L57" s="3" t="s">
        <v>0</v>
      </c>
    </row>
    <row r="59" spans="1:17"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</row>
  </sheetData>
  <mergeCells count="115">
    <mergeCell ref="A8:B8"/>
    <mergeCell ref="C8:F8"/>
    <mergeCell ref="G8:H8"/>
    <mergeCell ref="I8:L8"/>
    <mergeCell ref="A9:B9"/>
    <mergeCell ref="C9:F9"/>
    <mergeCell ref="G9:H9"/>
    <mergeCell ref="I9:L9"/>
    <mergeCell ref="I1:L2"/>
    <mergeCell ref="K3:L3"/>
    <mergeCell ref="I4:J4"/>
    <mergeCell ref="K4:L4"/>
    <mergeCell ref="B5:D5"/>
    <mergeCell ref="A7:B7"/>
    <mergeCell ref="C7:F7"/>
    <mergeCell ref="G7:H7"/>
    <mergeCell ref="I7:L7"/>
    <mergeCell ref="A12:B12"/>
    <mergeCell ref="C12:F12"/>
    <mergeCell ref="G12:H12"/>
    <mergeCell ref="I12:L12"/>
    <mergeCell ref="A13:L13"/>
    <mergeCell ref="A14:L15"/>
    <mergeCell ref="A10:B10"/>
    <mergeCell ref="C10:F10"/>
    <mergeCell ref="G10:H10"/>
    <mergeCell ref="I10:L10"/>
    <mergeCell ref="A11:B11"/>
    <mergeCell ref="C11:F11"/>
    <mergeCell ref="G11:H11"/>
    <mergeCell ref="I11:L11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E20:F20"/>
    <mergeCell ref="G20:H20"/>
    <mergeCell ref="K20:L20"/>
    <mergeCell ref="E21:F21"/>
    <mergeCell ref="G21:H21"/>
    <mergeCell ref="K21:L21"/>
    <mergeCell ref="E18:F18"/>
    <mergeCell ref="G18:H18"/>
    <mergeCell ref="I18:J18"/>
    <mergeCell ref="K18:L18"/>
    <mergeCell ref="E19:F19"/>
    <mergeCell ref="G19:H19"/>
    <mergeCell ref="I19:J19"/>
    <mergeCell ref="K19:L19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8:F28"/>
    <mergeCell ref="G28:H28"/>
    <mergeCell ref="I28:J28"/>
    <mergeCell ref="K28:L28"/>
    <mergeCell ref="E29:F29"/>
    <mergeCell ref="G29:H29"/>
    <mergeCell ref="I29:J29"/>
    <mergeCell ref="K29:L29"/>
    <mergeCell ref="E26:F26"/>
    <mergeCell ref="G26:H26"/>
    <mergeCell ref="K26:L26"/>
    <mergeCell ref="E27:F27"/>
    <mergeCell ref="G27:H27"/>
    <mergeCell ref="I27:J27"/>
    <mergeCell ref="K27:L27"/>
    <mergeCell ref="K32:L32"/>
    <mergeCell ref="K33:L33"/>
    <mergeCell ref="K34:L34"/>
    <mergeCell ref="K35:L35"/>
    <mergeCell ref="K36:L36"/>
    <mergeCell ref="K37:L37"/>
    <mergeCell ref="E30:F30"/>
    <mergeCell ref="G30:H30"/>
    <mergeCell ref="I30:J30"/>
    <mergeCell ref="K30:L30"/>
    <mergeCell ref="E31:F31"/>
    <mergeCell ref="G31:H31"/>
    <mergeCell ref="I31:J31"/>
    <mergeCell ref="K31:L31"/>
    <mergeCell ref="K38:L38"/>
    <mergeCell ref="K39:L39"/>
    <mergeCell ref="K40:L40"/>
    <mergeCell ref="K41:L41"/>
    <mergeCell ref="K42:L42"/>
    <mergeCell ref="E43:F43"/>
    <mergeCell ref="G43:H43"/>
    <mergeCell ref="I43:J43"/>
    <mergeCell ref="K43:L43"/>
    <mergeCell ref="K47:L47"/>
    <mergeCell ref="I48:J48"/>
    <mergeCell ref="K48:L48"/>
    <mergeCell ref="A50:L52"/>
    <mergeCell ref="I44:J44"/>
    <mergeCell ref="K44:L44"/>
    <mergeCell ref="B45:G46"/>
    <mergeCell ref="I45:J45"/>
    <mergeCell ref="K45:L45"/>
    <mergeCell ref="K46:L46"/>
  </mergeCells>
  <hyperlinks>
    <hyperlink ref="I12" r:id="rId1" xr:uid="{DF7A17D4-3FE9-44E1-8835-E1C406440162}"/>
  </hyperlinks>
  <pageMargins left="0.7" right="0.7" top="0.75" bottom="0.75" header="0.3" footer="0.3"/>
  <pageSetup orientation="portrait" horizontalDpi="0" verticalDpi="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</dc:creator>
  <cp:lastModifiedBy>Tracy Andrews</cp:lastModifiedBy>
  <cp:lastPrinted>2025-07-10T17:59:49Z</cp:lastPrinted>
  <dcterms:created xsi:type="dcterms:W3CDTF">2019-10-18T15:04:27Z</dcterms:created>
  <dcterms:modified xsi:type="dcterms:W3CDTF">2025-07-10T18:02:15Z</dcterms:modified>
</cp:coreProperties>
</file>