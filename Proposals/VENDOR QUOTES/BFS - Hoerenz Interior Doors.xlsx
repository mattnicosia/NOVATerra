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ildersfirstsource-my.sharepoint.com/personal/john_kelly_bldr_com/Documents/Desktop/BFS/Customers/Montana/Hoerenz/"/>
    </mc:Choice>
  </mc:AlternateContent>
  <xr:revisionPtr revIDLastSave="194" documentId="8_{64BC2111-7683-4F60-BF95-E0A162C38E73}" xr6:coauthVersionLast="47" xr6:coauthVersionMax="47" xr10:uidLastSave="{03B4BA88-D01E-435D-8795-499BAA4617AD}"/>
  <bookViews>
    <workbookView xWindow="-108" yWindow="-108" windowWidth="23256" windowHeight="12456" xr2:uid="{E0FCA3CE-0FCA-424B-A190-5DAEF34D45FF}"/>
  </bookViews>
  <sheets>
    <sheet name="Schedule" sheetId="1" r:id="rId1"/>
    <sheet name="Door Spe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1" l="1"/>
  <c r="N31" i="1" s="1"/>
  <c r="N32" i="1" s="1"/>
</calcChain>
</file>

<file path=xl/sharedStrings.xml><?xml version="1.0" encoding="utf-8"?>
<sst xmlns="http://schemas.openxmlformats.org/spreadsheetml/2006/main" count="192" uniqueCount="89">
  <si>
    <t>8.7.2025</t>
  </si>
  <si>
    <t>Hoerenz Residence</t>
  </si>
  <si>
    <t>257 River Road</t>
  </si>
  <si>
    <t>Grand View On Hudson, NY</t>
  </si>
  <si>
    <t>Basement</t>
  </si>
  <si>
    <t>002</t>
  </si>
  <si>
    <t>003</t>
  </si>
  <si>
    <t>004</t>
  </si>
  <si>
    <t>005</t>
  </si>
  <si>
    <t>First Floor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</si>
  <si>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</si>
  <si>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</si>
  <si>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</si>
  <si>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</si>
  <si>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</si>
  <si>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</si>
  <si>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</si>
  <si>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</si>
  <si>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</si>
  <si>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</si>
  <si>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</si>
  <si>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</si>
  <si>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</si>
  <si>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Second Floor</t>
  </si>
  <si>
    <t>200</t>
  </si>
  <si>
    <t>201</t>
  </si>
  <si>
    <t>202</t>
  </si>
  <si>
    <t>Door #</t>
  </si>
  <si>
    <t>Door Size</t>
  </si>
  <si>
    <t>Thickness</t>
  </si>
  <si>
    <t>Frame</t>
  </si>
  <si>
    <t>Swing</t>
  </si>
  <si>
    <t>Hardware</t>
  </si>
  <si>
    <t>Hinge Color</t>
  </si>
  <si>
    <t>1-3/4"</t>
  </si>
  <si>
    <t>3/0x7/0</t>
  </si>
  <si>
    <t>2/6x8/0</t>
  </si>
  <si>
    <t>5/0x8/0</t>
  </si>
  <si>
    <t>3/0x8/0</t>
  </si>
  <si>
    <t>2/0x8/0</t>
  </si>
  <si>
    <t>2/8x8/0</t>
  </si>
  <si>
    <t>2/6x6/8</t>
  </si>
  <si>
    <t>2/6x5/0</t>
  </si>
  <si>
    <t xml:space="preserve">TruStile </t>
  </si>
  <si>
    <t>Door</t>
  </si>
  <si>
    <t>TMF1011</t>
  </si>
  <si>
    <t>2x6</t>
  </si>
  <si>
    <t>RH IS</t>
  </si>
  <si>
    <t>2x4</t>
  </si>
  <si>
    <t>LH</t>
  </si>
  <si>
    <t>Comments</t>
  </si>
  <si>
    <t>Exterior Door</t>
  </si>
  <si>
    <t xml:space="preserve">RH </t>
  </si>
  <si>
    <t>RH</t>
  </si>
  <si>
    <t>Pocket Door</t>
  </si>
  <si>
    <t>Bifold</t>
  </si>
  <si>
    <t>LH IS</t>
  </si>
  <si>
    <t>Front Door</t>
  </si>
  <si>
    <t>1/0-3/0-1/0</t>
  </si>
  <si>
    <t>Can not find door 106 on plan</t>
  </si>
  <si>
    <t>Room</t>
  </si>
  <si>
    <t>Stair into Garage</t>
  </si>
  <si>
    <t>20 Minute Firedoor</t>
  </si>
  <si>
    <t>Mechanical Room</t>
  </si>
  <si>
    <t>Stair to Outside</t>
  </si>
  <si>
    <t>Workshop</t>
  </si>
  <si>
    <t>Master Bedroom</t>
  </si>
  <si>
    <t>Laundry/Linen</t>
  </si>
  <si>
    <t>Master Bathroom</t>
  </si>
  <si>
    <t>Entrance</t>
  </si>
  <si>
    <t>Powder Room</t>
  </si>
  <si>
    <t>Can Not Find</t>
  </si>
  <si>
    <t>Hall Closet</t>
  </si>
  <si>
    <t>Bedroom 1</t>
  </si>
  <si>
    <t>Bathroom 1</t>
  </si>
  <si>
    <t>Pantry</t>
  </si>
  <si>
    <t>Office</t>
  </si>
  <si>
    <t>Landing Closet</t>
  </si>
  <si>
    <t>Bedroom 2</t>
  </si>
  <si>
    <t>Passage</t>
  </si>
  <si>
    <t>Privacy</t>
  </si>
  <si>
    <t>Entry</t>
  </si>
  <si>
    <t>Still needs to be picked</t>
  </si>
  <si>
    <t>Flat Black</t>
  </si>
  <si>
    <t>TruStile Freight</t>
  </si>
  <si>
    <t>Sells</t>
  </si>
  <si>
    <t>Sub Total</t>
  </si>
  <si>
    <t>Tax</t>
  </si>
  <si>
    <t>No door knobs are on the quote-they still need to be picked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</si>
</sst>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horizontal="right"/>
    </xf>
    <xf numFmtId="0" fontId="2" fillId="0" borderId="0" xfId="0" applyFont="1"/>
    <xf numFmtId="0" fontId="0" fillId="2" borderId="0" xfId="0" applyFill="1"/>
    <xf numFmtId="0" fontId="3" fillId="0" borderId="0" xfId="0" applyFont="1"/>
    <xf numFmtId="4" fontId="0" fillId="0" borderId="0" xfId="0" applyNumberFormat="1"/>
    <xf numFmtId="4" fontId="2" fillId="0" borderId="0" xfId="0" applyNumberFormat="1" applyFont="1"/>
    <xf numFmtId="0" fontId="0" fillId="0" borderId="1" xfId="0" applyBorder="1"/>
    <xf numFmtId="49" fontId="0" fillId="0" borderId="1" xfId="0" applyNumberFormat="1" applyBorder="1" applyAlignment="1">
      <alignment horizontal="right"/>
    </xf>
    <xf numFmtId="4" fontId="0" fillId="0" borderId="1" xfId="0" applyNumberFormat="1" applyBorder="1"/>
    <xf numFmtId="164" fontId="0" fillId="0" borderId="1" xfId="0" applyNumberForma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457200</xdr:colOff>
      <xdr:row>42</xdr:row>
      <xdr:rowOff>62865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8D7FEE-5E10-55C8-5CAB-3BE20CA86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53200" cy="77438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F4F8-F76C-4241-9447-3A9E5DB93076}">
  <dimension ref="A1:N32"/>
  <sheetViews>
    <sheetView tabSelected="1" workbookViewId="0"/>
  </sheetViews>
  <sheetFormatPr defaultRowHeight="14.4" x14ac:dyDescent="0.3"/>
  <cols>
    <col min="1" max="1" width="8.109375" bestFit="1" customWidth="1"/>
    <col min="2" max="2" width="13" customWidth="1"/>
    <col min="3" max="3" width="8.109375" customWidth="1"/>
    <col min="4" max="4" width="8.77734375" bestFit="1" customWidth="1"/>
    <col min="5" max="5" width="9.21875" bestFit="1" customWidth="1"/>
    <col min="6" max="7" width="10.77734375" bestFit="1" customWidth="1"/>
    <col min="8" max="8" width="15.44140625" bestFit="1" customWidth="1"/>
    <col min="9" max="9" width="9.109375" bestFit="1" customWidth="1"/>
    <col min="10" max="10" width="10.5546875" bestFit="1" customWidth="1"/>
    <col min="11" max="11" width="16" bestFit="1" customWidth="1"/>
    <col min="12" max="12" width="24.21875" bestFit="1" customWidth="1"/>
    <col min="13" max="13" width="19.21875" bestFit="1" customWidth="1"/>
    <col min="14" max="14" width="9.109375" style="5" bestFit="1" customWidth="1"/>
  </cols>
  <sheetData>
    <row r="1" spans="1:14" x14ac:dyDescent="0.3">
      <c r="A1" t="s">
        <v>0</v>
      </c>
      <c r="C1" t="s">
        <v>1</v>
      </c>
      <c r="G1" t="s">
        <v>44</v>
      </c>
      <c r="H1" t="s">
        <v>43</v>
      </c>
      <c r="I1" t="s">
        <v>45</v>
      </c>
    </row>
    <row r="2" spans="1:14" x14ac:dyDescent="0.3">
      <c r="C2" t="s">
        <v>2</v>
      </c>
    </row>
    <row r="3" spans="1:14" x14ac:dyDescent="0.3">
      <c r="C3" t="s">
        <v>3</v>
      </c>
    </row>
    <row r="4" spans="1:14" x14ac:dyDescent="0.3">
      <c r="C4" s="4" t="s">
        <v>88</v>
      </c>
      <c r="D4" s="4"/>
      <c r="E4" s="4"/>
      <c r="F4" s="4"/>
      <c r="G4" s="4"/>
    </row>
    <row r="6" spans="1:14" s="2" customFormat="1" x14ac:dyDescent="0.3"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60</v>
      </c>
      <c r="I6" s="2" t="s">
        <v>32</v>
      </c>
      <c r="J6" s="2" t="s">
        <v>33</v>
      </c>
      <c r="K6" s="2" t="s">
        <v>50</v>
      </c>
      <c r="L6" s="2" t="s">
        <v>50</v>
      </c>
      <c r="M6" s="2" t="s">
        <v>50</v>
      </c>
      <c r="N6" s="6" t="s">
        <v>85</v>
      </c>
    </row>
    <row r="7" spans="1:14" x14ac:dyDescent="0.3">
      <c r="B7" t="s">
        <v>4</v>
      </c>
      <c r="C7" s="1" t="s">
        <v>5</v>
      </c>
      <c r="D7" t="s">
        <v>35</v>
      </c>
      <c r="E7" t="s">
        <v>34</v>
      </c>
      <c r="F7" t="s">
        <v>46</v>
      </c>
      <c r="G7" t="s">
        <v>47</v>
      </c>
      <c r="H7" t="s">
        <v>64</v>
      </c>
      <c r="I7" t="s">
        <v>81</v>
      </c>
      <c r="J7" t="s">
        <v>83</v>
      </c>
      <c r="K7" s="11" t="s">
        <v>51</v>
      </c>
      <c r="M7" s="11" t="s">
        <v>82</v>
      </c>
    </row>
    <row r="8" spans="1:14" x14ac:dyDescent="0.3">
      <c r="C8" s="1" t="s">
        <v>6</v>
      </c>
      <c r="D8" t="s">
        <v>35</v>
      </c>
      <c r="E8" t="s">
        <v>34</v>
      </c>
      <c r="F8" t="s">
        <v>48</v>
      </c>
      <c r="G8" t="s">
        <v>49</v>
      </c>
      <c r="H8" t="s">
        <v>63</v>
      </c>
      <c r="I8" t="s">
        <v>79</v>
      </c>
      <c r="J8" t="s">
        <v>83</v>
      </c>
      <c r="K8" s="3" t="s">
        <v>62</v>
      </c>
      <c r="N8" s="5">
        <v>1412.06</v>
      </c>
    </row>
    <row r="9" spans="1:14" x14ac:dyDescent="0.3">
      <c r="C9" s="1" t="s">
        <v>7</v>
      </c>
      <c r="D9" t="s">
        <v>35</v>
      </c>
      <c r="E9" t="s">
        <v>34</v>
      </c>
      <c r="F9" t="s">
        <v>48</v>
      </c>
      <c r="G9" t="s">
        <v>52</v>
      </c>
      <c r="H9" t="s">
        <v>65</v>
      </c>
      <c r="I9" t="s">
        <v>80</v>
      </c>
      <c r="J9" t="s">
        <v>83</v>
      </c>
      <c r="N9" s="5">
        <v>1023.9</v>
      </c>
    </row>
    <row r="10" spans="1:14" x14ac:dyDescent="0.3">
      <c r="C10" s="1" t="s">
        <v>8</v>
      </c>
      <c r="D10" t="s">
        <v>35</v>
      </c>
      <c r="E10" t="s">
        <v>34</v>
      </c>
      <c r="F10" t="s">
        <v>48</v>
      </c>
      <c r="G10" t="s">
        <v>53</v>
      </c>
      <c r="H10" t="s">
        <v>61</v>
      </c>
      <c r="I10" t="s">
        <v>81</v>
      </c>
      <c r="J10" t="s">
        <v>83</v>
      </c>
      <c r="K10" s="3" t="s">
        <v>62</v>
      </c>
      <c r="N10" s="5">
        <v>1412.06</v>
      </c>
    </row>
    <row r="11" spans="1:14" x14ac:dyDescent="0.3">
      <c r="C11" s="1"/>
    </row>
    <row r="12" spans="1:14" x14ac:dyDescent="0.3">
      <c r="B12" t="s">
        <v>9</v>
      </c>
      <c r="C12" s="1" t="s">
        <v>10</v>
      </c>
      <c r="D12" t="s">
        <v>36</v>
      </c>
      <c r="E12" t="s">
        <v>34</v>
      </c>
      <c r="F12" t="s">
        <v>54</v>
      </c>
      <c r="G12" t="s">
        <v>54</v>
      </c>
      <c r="H12" t="s">
        <v>66</v>
      </c>
      <c r="I12" t="s">
        <v>79</v>
      </c>
      <c r="K12" t="s">
        <v>54</v>
      </c>
      <c r="N12" s="5">
        <v>835.99</v>
      </c>
    </row>
    <row r="13" spans="1:14" x14ac:dyDescent="0.3">
      <c r="C13" s="1" t="s">
        <v>11</v>
      </c>
      <c r="D13" t="s">
        <v>36</v>
      </c>
      <c r="E13" t="s">
        <v>34</v>
      </c>
      <c r="F13" t="s">
        <v>48</v>
      </c>
      <c r="G13" t="s">
        <v>53</v>
      </c>
      <c r="H13" t="s">
        <v>68</v>
      </c>
      <c r="I13" t="s">
        <v>80</v>
      </c>
      <c r="J13" t="s">
        <v>83</v>
      </c>
      <c r="N13" s="5">
        <v>1033.5</v>
      </c>
    </row>
    <row r="14" spans="1:14" x14ac:dyDescent="0.3">
      <c r="C14" s="1" t="s">
        <v>12</v>
      </c>
      <c r="D14" t="s">
        <v>37</v>
      </c>
      <c r="E14" t="s">
        <v>34</v>
      </c>
      <c r="F14" t="s">
        <v>48</v>
      </c>
      <c r="G14" t="s">
        <v>55</v>
      </c>
      <c r="H14" t="s">
        <v>67</v>
      </c>
      <c r="I14" t="s">
        <v>79</v>
      </c>
      <c r="J14" t="s">
        <v>83</v>
      </c>
      <c r="K14" t="s">
        <v>55</v>
      </c>
      <c r="N14" s="5">
        <v>3356.31</v>
      </c>
    </row>
    <row r="15" spans="1:14" x14ac:dyDescent="0.3">
      <c r="C15" s="1" t="s">
        <v>13</v>
      </c>
      <c r="D15" t="s">
        <v>38</v>
      </c>
      <c r="E15" t="s">
        <v>34</v>
      </c>
      <c r="F15" t="s">
        <v>48</v>
      </c>
      <c r="G15" t="s">
        <v>49</v>
      </c>
      <c r="H15" t="s">
        <v>66</v>
      </c>
      <c r="I15" t="s">
        <v>80</v>
      </c>
      <c r="J15" t="s">
        <v>83</v>
      </c>
      <c r="N15" s="5">
        <v>1055.45</v>
      </c>
    </row>
    <row r="16" spans="1:14" x14ac:dyDescent="0.3">
      <c r="C16" s="1" t="s">
        <v>14</v>
      </c>
      <c r="D16" t="s">
        <v>38</v>
      </c>
      <c r="E16" t="s">
        <v>34</v>
      </c>
      <c r="F16" t="s">
        <v>46</v>
      </c>
      <c r="G16" t="s">
        <v>56</v>
      </c>
      <c r="H16" t="s">
        <v>69</v>
      </c>
      <c r="I16" t="s">
        <v>81</v>
      </c>
      <c r="J16" t="s">
        <v>83</v>
      </c>
      <c r="K16" s="11" t="s">
        <v>57</v>
      </c>
      <c r="L16" t="s">
        <v>58</v>
      </c>
      <c r="M16" s="11" t="s">
        <v>82</v>
      </c>
    </row>
    <row r="17" spans="2:14" x14ac:dyDescent="0.3">
      <c r="C17" s="1" t="s">
        <v>15</v>
      </c>
      <c r="D17" t="s">
        <v>36</v>
      </c>
      <c r="E17" t="s">
        <v>34</v>
      </c>
      <c r="F17" t="s">
        <v>54</v>
      </c>
      <c r="G17" t="s">
        <v>54</v>
      </c>
      <c r="H17" t="s">
        <v>70</v>
      </c>
      <c r="I17" t="s">
        <v>80</v>
      </c>
      <c r="K17" t="s">
        <v>54</v>
      </c>
      <c r="N17" s="5">
        <v>835.99</v>
      </c>
    </row>
    <row r="18" spans="2:14" x14ac:dyDescent="0.3">
      <c r="C18" s="1" t="s">
        <v>16</v>
      </c>
      <c r="D18" t="s">
        <v>36</v>
      </c>
      <c r="H18" s="4" t="s">
        <v>71</v>
      </c>
      <c r="I18" t="s">
        <v>79</v>
      </c>
      <c r="J18" t="s">
        <v>83</v>
      </c>
      <c r="L18" s="4" t="s">
        <v>59</v>
      </c>
    </row>
    <row r="19" spans="2:14" x14ac:dyDescent="0.3">
      <c r="C19" s="1" t="s">
        <v>17</v>
      </c>
      <c r="D19" t="s">
        <v>36</v>
      </c>
      <c r="E19" t="s">
        <v>34</v>
      </c>
      <c r="F19" t="s">
        <v>48</v>
      </c>
      <c r="G19" t="s">
        <v>49</v>
      </c>
      <c r="H19" t="s">
        <v>72</v>
      </c>
      <c r="I19" t="s">
        <v>79</v>
      </c>
      <c r="J19" t="s">
        <v>83</v>
      </c>
      <c r="N19" s="5">
        <v>1033.5</v>
      </c>
    </row>
    <row r="20" spans="2:14" x14ac:dyDescent="0.3">
      <c r="C20" s="1" t="s">
        <v>18</v>
      </c>
      <c r="D20" t="s">
        <v>36</v>
      </c>
      <c r="E20" t="s">
        <v>34</v>
      </c>
      <c r="F20" t="s">
        <v>48</v>
      </c>
      <c r="G20" t="s">
        <v>49</v>
      </c>
      <c r="H20" t="s">
        <v>73</v>
      </c>
      <c r="I20" t="s">
        <v>79</v>
      </c>
      <c r="J20" t="s">
        <v>83</v>
      </c>
      <c r="N20" s="5">
        <v>1033.5</v>
      </c>
    </row>
    <row r="21" spans="2:14" x14ac:dyDescent="0.3">
      <c r="C21" s="1" t="s">
        <v>19</v>
      </c>
      <c r="D21" t="s">
        <v>36</v>
      </c>
      <c r="E21" t="s">
        <v>34</v>
      </c>
      <c r="F21" t="s">
        <v>46</v>
      </c>
      <c r="G21" t="s">
        <v>49</v>
      </c>
      <c r="H21" t="s">
        <v>73</v>
      </c>
      <c r="I21" t="s">
        <v>80</v>
      </c>
      <c r="J21" t="s">
        <v>83</v>
      </c>
      <c r="N21" s="5">
        <v>1076.71</v>
      </c>
    </row>
    <row r="22" spans="2:14" x14ac:dyDescent="0.3">
      <c r="C22" s="1" t="s">
        <v>20</v>
      </c>
      <c r="D22" t="s">
        <v>36</v>
      </c>
      <c r="E22" t="s">
        <v>34</v>
      </c>
      <c r="F22" t="s">
        <v>48</v>
      </c>
      <c r="G22" t="s">
        <v>49</v>
      </c>
      <c r="H22" t="s">
        <v>74</v>
      </c>
      <c r="I22" t="s">
        <v>80</v>
      </c>
      <c r="J22" t="s">
        <v>83</v>
      </c>
      <c r="N22" s="5">
        <v>1033.5</v>
      </c>
    </row>
    <row r="23" spans="2:14" x14ac:dyDescent="0.3">
      <c r="C23" s="1" t="s">
        <v>21</v>
      </c>
      <c r="D23" t="s">
        <v>39</v>
      </c>
      <c r="E23" t="s">
        <v>34</v>
      </c>
      <c r="F23" t="s">
        <v>54</v>
      </c>
      <c r="G23" t="s">
        <v>54</v>
      </c>
      <c r="H23" t="s">
        <v>75</v>
      </c>
      <c r="I23" t="s">
        <v>79</v>
      </c>
      <c r="K23" t="s">
        <v>54</v>
      </c>
      <c r="N23" s="5">
        <v>809.24</v>
      </c>
    </row>
    <row r="24" spans="2:14" x14ac:dyDescent="0.3">
      <c r="C24" s="1" t="s">
        <v>22</v>
      </c>
      <c r="D24" t="s">
        <v>40</v>
      </c>
      <c r="E24" t="s">
        <v>34</v>
      </c>
      <c r="F24" t="s">
        <v>46</v>
      </c>
      <c r="G24" t="s">
        <v>53</v>
      </c>
      <c r="H24" t="s">
        <v>76</v>
      </c>
      <c r="I24" t="s">
        <v>80</v>
      </c>
      <c r="J24" t="s">
        <v>83</v>
      </c>
      <c r="N24" s="5">
        <v>1082.8800000000001</v>
      </c>
    </row>
    <row r="25" spans="2:14" x14ac:dyDescent="0.3">
      <c r="C25" s="1"/>
    </row>
    <row r="26" spans="2:14" x14ac:dyDescent="0.3">
      <c r="B26" t="s">
        <v>23</v>
      </c>
      <c r="C26" s="1" t="s">
        <v>24</v>
      </c>
      <c r="D26" t="s">
        <v>41</v>
      </c>
      <c r="E26" t="s">
        <v>34</v>
      </c>
      <c r="F26" t="s">
        <v>48</v>
      </c>
      <c r="G26" t="s">
        <v>49</v>
      </c>
      <c r="H26" t="s">
        <v>77</v>
      </c>
      <c r="I26" t="s">
        <v>79</v>
      </c>
      <c r="J26" t="s">
        <v>83</v>
      </c>
      <c r="N26" s="5">
        <v>984.81</v>
      </c>
    </row>
    <row r="27" spans="2:14" x14ac:dyDescent="0.3">
      <c r="C27" s="1" t="s">
        <v>25</v>
      </c>
      <c r="D27" t="s">
        <v>41</v>
      </c>
      <c r="E27" t="s">
        <v>34</v>
      </c>
      <c r="F27" t="s">
        <v>46</v>
      </c>
      <c r="G27" t="s">
        <v>53</v>
      </c>
      <c r="H27" t="s">
        <v>78</v>
      </c>
      <c r="I27" t="s">
        <v>80</v>
      </c>
      <c r="J27" t="s">
        <v>83</v>
      </c>
      <c r="N27" s="5">
        <v>1027.33</v>
      </c>
    </row>
    <row r="28" spans="2:14" x14ac:dyDescent="0.3">
      <c r="C28" s="1" t="s">
        <v>26</v>
      </c>
      <c r="D28" t="s">
        <v>42</v>
      </c>
      <c r="E28" t="s">
        <v>34</v>
      </c>
      <c r="F28" t="s">
        <v>48</v>
      </c>
      <c r="G28" t="s">
        <v>49</v>
      </c>
      <c r="H28" t="s">
        <v>78</v>
      </c>
      <c r="I28" t="s">
        <v>79</v>
      </c>
      <c r="J28" t="s">
        <v>83</v>
      </c>
      <c r="N28" s="5">
        <v>984.81</v>
      </c>
    </row>
    <row r="29" spans="2:14" x14ac:dyDescent="0.3">
      <c r="B29" s="7" t="s">
        <v>84</v>
      </c>
      <c r="C29" s="8"/>
      <c r="D29" s="7"/>
      <c r="E29" s="7"/>
      <c r="F29" s="7"/>
      <c r="G29" s="7"/>
      <c r="H29" s="7"/>
      <c r="I29" s="7"/>
      <c r="J29" s="7"/>
      <c r="K29" s="7"/>
      <c r="L29" s="7"/>
      <c r="M29" s="7"/>
      <c r="N29" s="9">
        <v>215.9</v>
      </c>
    </row>
    <row r="30" spans="2:14" x14ac:dyDescent="0.3">
      <c r="C30" s="1"/>
      <c r="M30" t="s">
        <v>86</v>
      </c>
      <c r="N30" s="5">
        <f>SUM(N7:N29)</f>
        <v>20247.440000000006</v>
      </c>
    </row>
    <row r="31" spans="2:14" x14ac:dyDescent="0.3">
      <c r="C31" s="1"/>
      <c r="L31" s="7" t="s">
        <v>87</v>
      </c>
      <c r="M31" s="10">
        <v>8.3799999999999999E-2</v>
      </c>
      <c r="N31" s="9">
        <f>N30*M31</f>
        <v>1696.7354720000005</v>
      </c>
    </row>
    <row r="32" spans="2:14" x14ac:dyDescent="0.3">
      <c r="N32" s="5">
        <f>SUM(N30:N31)</f>
        <v>21944.175472000006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E37B-BC74-4A04-8528-2ACD6781B283}">
  <dimension ref="A1"/>
  <sheetViews>
    <sheetView workbookViewId="0">
      <selection activeCell="L1" sqref="L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Door 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Kelly</dc:creator>
  <cp:lastModifiedBy>John Kelly</cp:lastModifiedBy>
  <dcterms:created xsi:type="dcterms:W3CDTF">2025-08-07T17:24:30Z</dcterms:created>
  <dcterms:modified xsi:type="dcterms:W3CDTF">2025-08-18T15:00:43Z</dcterms:modified>
</cp:coreProperties>
</file>