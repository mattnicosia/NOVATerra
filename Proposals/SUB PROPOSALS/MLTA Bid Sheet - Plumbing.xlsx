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Matt\Matt Nicosia Dropbox\BLDG\BLDG Estimating\250104 - Martin Luther Terrace Apartments [Kulka]\"/>
    </mc:Choice>
  </mc:AlternateContent>
  <xr:revisionPtr revIDLastSave="0" documentId="13_ncr:1_{04D62392-9776-4C92-A0ED-D46D559DC028}" xr6:coauthVersionLast="47" xr6:coauthVersionMax="47" xr10:uidLastSave="{00000000-0000-0000-0000-000000000000}"/>
  <bookViews>
    <workbookView xWindow="35100" yWindow="0" windowWidth="22545" windowHeight="15240" xr2:uid="{86FEA2BB-7A15-41C3-92CD-18E4A38338FB}"/>
  </bookViews>
  <sheets>
    <sheet name="MLTA" sheetId="1" r:id="rId1"/>
  </sheets>
  <definedNames>
    <definedName name="_xlnm._FilterDatabase" localSheetId="0" hidden="1">MLTA!$A$9:$J$262</definedName>
    <definedName name="_xlnm.Print_Area" localSheetId="0">MLTA!$A$1:$J$268</definedName>
    <definedName name="_xlnm.Print_Titles" localSheetId="0">MLTA!$1:$9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2" i="1" l="1"/>
  <c r="I250" i="1"/>
  <c r="H236" i="1"/>
  <c r="H232" i="1"/>
  <c r="H231" i="1"/>
  <c r="H220" i="1"/>
  <c r="H219" i="1"/>
  <c r="H218" i="1"/>
  <c r="H180" i="1"/>
  <c r="H223" i="1"/>
  <c r="H101" i="1"/>
  <c r="H148" i="1"/>
  <c r="H13" i="1"/>
  <c r="H120" i="1"/>
  <c r="H45" i="1"/>
  <c r="H42" i="1"/>
  <c r="E104" i="1"/>
  <c r="H24" i="1"/>
  <c r="H12" i="1"/>
  <c r="H187" i="1"/>
  <c r="H186" i="1"/>
  <c r="H209" i="1"/>
  <c r="H192" i="1"/>
  <c r="H172" i="1"/>
  <c r="H171" i="1"/>
  <c r="H129" i="1"/>
  <c r="H130" i="1"/>
  <c r="H126" i="1"/>
  <c r="H74" i="1"/>
  <c r="H73" i="1"/>
  <c r="H67" i="1"/>
  <c r="H40" i="1"/>
  <c r="H32" i="1"/>
  <c r="H31" i="1"/>
  <c r="H200" i="1"/>
  <c r="H198" i="1"/>
  <c r="H197" i="1"/>
  <c r="H235" i="1"/>
  <c r="H233" i="1"/>
  <c r="H230" i="1"/>
  <c r="H254" i="1"/>
  <c r="H207" i="1"/>
  <c r="H206" i="1"/>
  <c r="H205" i="1"/>
  <c r="H128" i="1"/>
  <c r="H127" i="1"/>
  <c r="H157" i="1"/>
  <c r="H112" i="1"/>
  <c r="H110" i="1"/>
  <c r="H147" i="1"/>
  <c r="H146" i="1"/>
  <c r="H145" i="1"/>
  <c r="H169" i="1"/>
  <c r="H168" i="1"/>
  <c r="H167" i="1"/>
  <c r="H154" i="1"/>
  <c r="H155" i="1"/>
  <c r="H156" i="1"/>
  <c r="H153" i="1"/>
  <c r="H152" i="1"/>
  <c r="H57" i="1"/>
  <c r="H188" i="1"/>
  <c r="H189" i="1"/>
  <c r="H58" i="1"/>
  <c r="H56" i="1"/>
  <c r="H63" i="1"/>
  <c r="H93" i="1"/>
  <c r="I94" i="1" s="1"/>
  <c r="H244" i="1"/>
  <c r="H240" i="1"/>
  <c r="H225" i="1"/>
  <c r="H224" i="1"/>
  <c r="H221" i="1"/>
  <c r="H217" i="1"/>
  <c r="H216" i="1"/>
  <c r="H215" i="1"/>
  <c r="H185" i="1"/>
  <c r="H178" i="1"/>
  <c r="H134" i="1"/>
  <c r="H133" i="1"/>
  <c r="H131" i="1"/>
  <c r="H119" i="1"/>
  <c r="H115" i="1"/>
  <c r="H114" i="1"/>
  <c r="H103" i="1"/>
  <c r="H99" i="1"/>
  <c r="H89" i="1"/>
  <c r="H88" i="1"/>
  <c r="H84" i="1"/>
  <c r="H83" i="1"/>
  <c r="H81" i="1"/>
  <c r="H80" i="1"/>
  <c r="H68" i="1"/>
  <c r="H59" i="1"/>
  <c r="H55" i="1"/>
  <c r="H50" i="1"/>
  <c r="H48" i="1"/>
  <c r="H46" i="1"/>
  <c r="H44" i="1"/>
  <c r="H39" i="1"/>
  <c r="H43" i="1"/>
  <c r="H260" i="1"/>
  <c r="H259" i="1"/>
  <c r="I14" i="1" l="1"/>
  <c r="I34" i="1"/>
  <c r="I75" i="1"/>
  <c r="H26" i="1"/>
  <c r="H23" i="1"/>
  <c r="H25" i="1"/>
  <c r="H104" i="1"/>
  <c r="I105" i="1" s="1"/>
  <c r="I237" i="1"/>
  <c r="I70" i="1"/>
  <c r="I201" i="1"/>
  <c r="I135" i="1"/>
  <c r="I85" i="1"/>
  <c r="H242" i="1"/>
  <c r="H243" i="1"/>
  <c r="I158" i="1"/>
  <c r="I64" i="1"/>
  <c r="I173" i="1"/>
  <c r="I149" i="1"/>
  <c r="I51" i="1"/>
  <c r="I256" i="1"/>
  <c r="I116" i="1"/>
  <c r="I261" i="1"/>
  <c r="I210" i="1"/>
  <c r="I193" i="1"/>
  <c r="H18" i="1"/>
  <c r="I245" i="1" l="1"/>
  <c r="I27" i="1"/>
  <c r="I226" i="1"/>
  <c r="I19" i="1"/>
  <c r="I90" i="1"/>
  <c r="I60" i="1"/>
  <c r="I121" i="1" l="1"/>
</calcChain>
</file>

<file path=xl/sharedStrings.xml><?xml version="1.0" encoding="utf-8"?>
<sst xmlns="http://schemas.openxmlformats.org/spreadsheetml/2006/main" count="559" uniqueCount="250">
  <si>
    <t>Plumbing</t>
  </si>
  <si>
    <t>Electrical</t>
  </si>
  <si>
    <t>Mechanical</t>
  </si>
  <si>
    <t>Safety &amp; Security</t>
  </si>
  <si>
    <t>BID PACKAGE</t>
  </si>
  <si>
    <t>LINE</t>
  </si>
  <si>
    <t>LS/QTY</t>
  </si>
  <si>
    <t>ITEM DESCRIPTION</t>
  </si>
  <si>
    <t>QTY</t>
  </si>
  <si>
    <t>UNIT</t>
  </si>
  <si>
    <t>UNIT COST</t>
  </si>
  <si>
    <t>TOTAL COST</t>
  </si>
  <si>
    <t>SUBDIVISION SOV</t>
  </si>
  <si>
    <t>COMMENT</t>
  </si>
  <si>
    <t xml:space="preserve">DIVISION 01 - GENERAL REQUIREMENTS </t>
  </si>
  <si>
    <t>01.1000</t>
  </si>
  <si>
    <t>GENERAL CONDITIONS</t>
  </si>
  <si>
    <t>SUBTOTAL</t>
  </si>
  <si>
    <t>DIVISION 02 - EXISTING CONDITIONS</t>
  </si>
  <si>
    <t>ACM Abatement</t>
  </si>
  <si>
    <t>ADA Units</t>
  </si>
  <si>
    <t>DIVISION 03 - CONCRETE</t>
  </si>
  <si>
    <t>CONCRETE SITE WORK</t>
  </si>
  <si>
    <t>Exterior Improvements</t>
  </si>
  <si>
    <t>Metals</t>
  </si>
  <si>
    <t>DIVISION 06 - WOOD, PLASTICS, COMPOSITES</t>
  </si>
  <si>
    <t>Interiors</t>
  </si>
  <si>
    <t>06.1000</t>
  </si>
  <si>
    <t>CARPENTRY</t>
  </si>
  <si>
    <t>Site Logistics</t>
  </si>
  <si>
    <t>Carpentry - Bathroom</t>
  </si>
  <si>
    <t>Carpentry - Apt</t>
  </si>
  <si>
    <t>DIVISION 07 - THERMAL AND MOISTURE PROTECTION</t>
  </si>
  <si>
    <t>07.0000</t>
  </si>
  <si>
    <t>ROOFING SYSTEM</t>
  </si>
  <si>
    <t>Roofing</t>
  </si>
  <si>
    <t>07.1000</t>
  </si>
  <si>
    <t>CAULKING</t>
  </si>
  <si>
    <t>DIVISION 08 - OPENINGS</t>
  </si>
  <si>
    <t>08.1000</t>
  </si>
  <si>
    <t>DOORS AND FRAMES</t>
  </si>
  <si>
    <t>Apartment</t>
  </si>
  <si>
    <t>Exterior HM</t>
  </si>
  <si>
    <t>08.2000</t>
  </si>
  <si>
    <t>08.3000</t>
  </si>
  <si>
    <t>Windows</t>
  </si>
  <si>
    <t>DIVISION 09 - FINISHES</t>
  </si>
  <si>
    <t>09.1000</t>
  </si>
  <si>
    <t>PLASTER &amp; GYPSUM BOARD</t>
  </si>
  <si>
    <t>Bathroom</t>
  </si>
  <si>
    <t>Kitchen</t>
  </si>
  <si>
    <t>09.2000</t>
  </si>
  <si>
    <t>TILING</t>
  </si>
  <si>
    <t>PAINTING</t>
  </si>
  <si>
    <t>DIVISION 10 - SPECIALTIES</t>
  </si>
  <si>
    <t>10.1000</t>
  </si>
  <si>
    <t>BATH ACCESSORIES</t>
  </si>
  <si>
    <t>DIVISION 11 - EQUIPMENT &amp; APPLIANCES</t>
  </si>
  <si>
    <t>11.1000</t>
  </si>
  <si>
    <t>DIVISION 12 - FURNISHINGS</t>
  </si>
  <si>
    <t>12.0000</t>
  </si>
  <si>
    <t>KITCHEN CABINETRY, COUNTERTOPS, VANITY</t>
  </si>
  <si>
    <t>DIVISION 22 - PLUMBING</t>
  </si>
  <si>
    <t>22.1000</t>
  </si>
  <si>
    <t>DIVISION 23 - HEATING, VENTILATING, AND AIR CONDITIONING (HVAC)</t>
  </si>
  <si>
    <t>23.0000</t>
  </si>
  <si>
    <t>DIVISION 26 - ELECTRICAL</t>
  </si>
  <si>
    <t>26.1000</t>
  </si>
  <si>
    <t>26.3000</t>
  </si>
  <si>
    <t>DIVISION 28 - ELECTRONIC SAFETY AND SECURITY</t>
  </si>
  <si>
    <t>28.1000</t>
  </si>
  <si>
    <t>DIVISION 32 - EXTERIOR IMPROVEMENTS</t>
  </si>
  <si>
    <t>32.1000</t>
  </si>
  <si>
    <t>32.2000</t>
  </si>
  <si>
    <t>LANDSCAPING &amp; SITEWORK</t>
  </si>
  <si>
    <t>MLTA</t>
  </si>
  <si>
    <t>Allowance - Abatement</t>
  </si>
  <si>
    <t>ls</t>
  </si>
  <si>
    <t>sf</t>
  </si>
  <si>
    <t>ea</t>
  </si>
  <si>
    <t>Furnish and install planters at Community Building per Community Garden Planting Schedule</t>
  </si>
  <si>
    <t>Furnish and install fence to enclose backup generator</t>
  </si>
  <si>
    <t>Provide labor and material to install new 12ft x 12ft concrete pad on grade</t>
  </si>
  <si>
    <t>ASPHALT PARKING AREA</t>
  </si>
  <si>
    <t>Provide labor and material to remove existing and install new thermally-broken fiberglass Window Type W1 (two outswing casement, one fixed). Price includes installation, IGU glazing, insect screen, and jamb slide operator</t>
  </si>
  <si>
    <t>Provide labor and material to remove existing and install new thermally-broken fiberglass Window Type W2 (two outswing casement, one fixed). Price includes installation, IGU glazing, insect screen, and jamb slide operator</t>
  </si>
  <si>
    <t>Provide labor and material to remove existing and install new thermally-broken fiberglass Window Type W3 at Community Building (two outswing casement). Price includes installation, IGU glazing, insect screen, and jamb slide operator</t>
  </si>
  <si>
    <t>ACM ABATEMENT</t>
  </si>
  <si>
    <t>APARTMENT WINDOWS</t>
  </si>
  <si>
    <t>COMMUNITY BUILDING WINDOWS</t>
  </si>
  <si>
    <t>RESIDENTIAL SIDING</t>
  </si>
  <si>
    <t>Siding</t>
  </si>
  <si>
    <t>bldg</t>
  </si>
  <si>
    <t>apt</t>
  </si>
  <si>
    <t>Furnish and install new range hood</t>
  </si>
  <si>
    <t>lf</t>
  </si>
  <si>
    <t>PLUMBING FOR APARTMENTS</t>
  </si>
  <si>
    <t>Remove and replace exterior HM door at Mechanical Room</t>
  </si>
  <si>
    <t>Provide labor and material for liquid applied flashing at roof vent penetrations</t>
  </si>
  <si>
    <t>locations</t>
  </si>
  <si>
    <t>Provide labor and material for liquid applied flashing at flue penetrations</t>
  </si>
  <si>
    <t>BACKUP GENERATOR AT COMMUNITY BUILDING</t>
  </si>
  <si>
    <t>Remove and replace all metal downspouts, 2 leaders per gutter</t>
  </si>
  <si>
    <t>Remove and replace roofing with new shingle roof, including all details and components, ice and water shield, architectural ridge vent, flashings and drip edge</t>
  </si>
  <si>
    <t>APPLIANCES IN APARTMENTS</t>
  </si>
  <si>
    <t>11.2000</t>
  </si>
  <si>
    <t>APPLIANCES IN COMMUNITY BUILDING</t>
  </si>
  <si>
    <t>Furnish and install new freezer</t>
  </si>
  <si>
    <t>Furnish and install new water cooler</t>
  </si>
  <si>
    <t>Furnish and install new refrigerator</t>
  </si>
  <si>
    <t>kitchens</t>
  </si>
  <si>
    <t>Remove and replace quartz countertop</t>
  </si>
  <si>
    <r>
      <rPr>
        <b/>
        <sz val="11"/>
        <rFont val="Calibri"/>
        <family val="2"/>
        <scheme val="minor"/>
      </rPr>
      <t>Add Alternate.</t>
    </r>
    <r>
      <rPr>
        <sz val="11"/>
        <rFont val="Calibri"/>
        <family val="2"/>
        <scheme val="minor"/>
      </rPr>
      <t xml:space="preserve"> Furnish and install new range hood in apartments</t>
    </r>
  </si>
  <si>
    <t>Remove and replace kitchen cabinets with painted wood finish</t>
  </si>
  <si>
    <t>Typical Units</t>
  </si>
  <si>
    <r>
      <rPr>
        <b/>
        <sz val="11"/>
        <rFont val="Calibri"/>
        <family val="2"/>
        <scheme val="minor"/>
      </rPr>
      <t>Add Alternate.</t>
    </r>
    <r>
      <rPr>
        <sz val="11"/>
        <rFont val="Calibri"/>
        <family val="2"/>
        <scheme val="minor"/>
      </rPr>
      <t xml:space="preserve"> Furnish and install new refrigerator in apartments</t>
    </r>
  </si>
  <si>
    <r>
      <rPr>
        <b/>
        <sz val="11"/>
        <rFont val="Calibri"/>
        <family val="2"/>
        <scheme val="minor"/>
      </rPr>
      <t>Add Alternate.</t>
    </r>
    <r>
      <rPr>
        <sz val="11"/>
        <rFont val="Calibri"/>
        <family val="2"/>
        <scheme val="minor"/>
      </rPr>
      <t xml:space="preserve"> Furnish and install new gas range in apartments</t>
    </r>
  </si>
  <si>
    <t>Furnish and install new range hood in accessible kitchen</t>
  </si>
  <si>
    <t>Furnish and install new refrigerator in accessible kitchen</t>
  </si>
  <si>
    <t>Furnish and install new gas range in accessible kitchen</t>
  </si>
  <si>
    <t>Community Building Kitchen</t>
  </si>
  <si>
    <t>Furnish and install gas piping to new generator</t>
  </si>
  <si>
    <t>doors</t>
  </si>
  <si>
    <t>PULL CORD SYSTEM</t>
  </si>
  <si>
    <t xml:space="preserve">Provide labor and material to install hard wired pull cord system. </t>
  </si>
  <si>
    <t>qty</t>
  </si>
  <si>
    <t>baths</t>
  </si>
  <si>
    <t>Community Building</t>
  </si>
  <si>
    <t>Apartments</t>
  </si>
  <si>
    <t>Furnish and install new countertop microwave</t>
  </si>
  <si>
    <t>ELECTRICAL WORK IN APARTMENTS</t>
  </si>
  <si>
    <t>Remove existing wiring &amp; connections for exisiting thermostat and control valve. Furnish &amp; Install New Circuit Breakers. Make Connections to New Control Valve &amp; Thermostat Wiring through Attic</t>
  </si>
  <si>
    <t xml:space="preserve">Furnish &amp; Install under cabinet Light Fixture, Toggle Switch with Power from nearest Lighting Circuit </t>
  </si>
  <si>
    <t>Apartment Boiler Rooms</t>
  </si>
  <si>
    <t>ELECTRICAL WORK IN COMMUNITY BUILDING</t>
  </si>
  <si>
    <t>Community Building Boiler Room</t>
  </si>
  <si>
    <t xml:space="preserve">Remove exisiting, Furnish, &amp; Install New GFI Receptacle </t>
  </si>
  <si>
    <t>Remove exisiting, Furnish, &amp; Install new ceiling mounted recessed lighting</t>
  </si>
  <si>
    <t>PLUMBING IN COMMUNITY BUILDING</t>
  </si>
  <si>
    <t>METALS</t>
  </si>
  <si>
    <t>03.0000</t>
  </si>
  <si>
    <t>bath</t>
  </si>
  <si>
    <t>Labor - Final cleaning in apartments for turn over.</t>
  </si>
  <si>
    <t>DIVISION 05 - METALS</t>
  </si>
  <si>
    <t>05.0000</t>
  </si>
  <si>
    <t>02.0000</t>
  </si>
  <si>
    <t>07.2000</t>
  </si>
  <si>
    <t>09.3000</t>
  </si>
  <si>
    <t>22.3000</t>
  </si>
  <si>
    <t>26.2000</t>
  </si>
  <si>
    <t xml:space="preserve">Labor - Unload, store and distribute material. Including community room </t>
  </si>
  <si>
    <t>openings</t>
  </si>
  <si>
    <t>Remove and replace screen door at apartment entrance, including hardware</t>
  </si>
  <si>
    <t>Install caulking at new plumbing fixtures and ceramic tile joints in the bathroom</t>
  </si>
  <si>
    <t>FIRESTOPPING FOR PLUMBING</t>
  </si>
  <si>
    <t>07.3000</t>
  </si>
  <si>
    <t>Provide shower glass doors at bathrooms with new showers</t>
  </si>
  <si>
    <t>Furnish and install new gas range</t>
  </si>
  <si>
    <t>Allowance - Provide labor and material to reinstall existing kitchen sink until new countertops and sinks are delivered to site</t>
  </si>
  <si>
    <r>
      <rPr>
        <b/>
        <sz val="11"/>
        <rFont val="Calibri"/>
        <family val="2"/>
        <scheme val="minor"/>
      </rPr>
      <t xml:space="preserve">Add Alternate. </t>
    </r>
    <r>
      <rPr>
        <sz val="11"/>
        <rFont val="Calibri"/>
        <family val="2"/>
        <scheme val="minor"/>
      </rPr>
      <t>Allowance - Provide labor and material to reinstall existing kitchen sink until new countertops and sinks are delivered to site</t>
    </r>
  </si>
  <si>
    <t>Community Kitchen</t>
  </si>
  <si>
    <t>Community Boiler Room</t>
  </si>
  <si>
    <t>Apartment Boiler Room</t>
  </si>
  <si>
    <t>Kitchens</t>
  </si>
  <si>
    <r>
      <rPr>
        <b/>
        <sz val="11"/>
        <rFont val="Calibri"/>
        <family val="2"/>
        <scheme val="minor"/>
      </rPr>
      <t xml:space="preserve">Add Alternate. </t>
    </r>
    <r>
      <rPr>
        <sz val="11"/>
        <rFont val="Calibri"/>
        <family val="2"/>
        <scheme val="minor"/>
      </rPr>
      <t>Provide labor and material to mill, pave, and reseal entire parking area. Includes restriping of parking area according to existing stripes</t>
    </r>
  </si>
  <si>
    <t>Remove existing bathtub, furnish and install new walk-in shower pan including new drain assembly</t>
  </si>
  <si>
    <t>Allowance - Drain roughing allowance. Slab and piping condition unknown</t>
  </si>
  <si>
    <t>Remove and replace shower hose only</t>
  </si>
  <si>
    <t>Allowance - Furnish and install new shower assembly at new shower pans. Includes shower body and head per spec, with allowance for: Slide bar, drop el, temperature control valve trim kit, and separate demountable shower head</t>
  </si>
  <si>
    <t>Furnish and install concrete pavement at Community Building. Provide control joints at 5ft max.</t>
  </si>
  <si>
    <t>Furnish and install new ADA compliant curb ramp in parking lot at Building L</t>
  </si>
  <si>
    <t>Allowance - Clearing and re-grading as needed for pavement at Community Building</t>
  </si>
  <si>
    <t>Remove and install new concrete pavement at walkways per Section Detail 2 on A-100</t>
  </si>
  <si>
    <r>
      <rPr>
        <b/>
        <sz val="11"/>
        <rFont val="Calibri"/>
        <family val="2"/>
        <scheme val="minor"/>
      </rPr>
      <t xml:space="preserve">Add Alternate. </t>
    </r>
    <r>
      <rPr>
        <sz val="11"/>
        <rFont val="Calibri"/>
        <family val="2"/>
        <scheme val="minor"/>
      </rPr>
      <t>Provide blocking at all kichens including patching sheetrock as needed, to include community room</t>
    </r>
  </si>
  <si>
    <t>Provide blocking at all bathrooms</t>
  </si>
  <si>
    <t>Provide blocking at all kichens, to include community room kitchen</t>
  </si>
  <si>
    <r>
      <t xml:space="preserve">Furnish and install window blocking as required - </t>
    </r>
    <r>
      <rPr>
        <b/>
        <i/>
        <u/>
        <sz val="11"/>
        <rFont val="Calibri"/>
        <family val="2"/>
        <scheme val="minor"/>
      </rPr>
      <t>TBD</t>
    </r>
  </si>
  <si>
    <t>Provide sheetrock patching at window surrounds</t>
  </si>
  <si>
    <t xml:space="preserve">Dust and Debris management at Community Building </t>
  </si>
  <si>
    <t>Construction dumpsters for demolition and debris</t>
  </si>
  <si>
    <t>Labor - Final cleaning in Community Building</t>
  </si>
  <si>
    <t>Furnish and install new cement board at bathroom surrounds board at all openings</t>
  </si>
  <si>
    <r>
      <rPr>
        <b/>
        <sz val="11"/>
        <rFont val="Calibri"/>
        <family val="2"/>
        <scheme val="minor"/>
      </rPr>
      <t>Add Alternate.</t>
    </r>
    <r>
      <rPr>
        <sz val="11"/>
        <rFont val="Calibri"/>
        <family val="2"/>
        <scheme val="minor"/>
      </rPr>
      <t xml:space="preserve"> Dust and Debris management at apartments with kitchen renovation</t>
    </r>
  </si>
  <si>
    <t>Dust and Debris management at apartments with kitchen renovation and new shower</t>
  </si>
  <si>
    <t>Labor - General housekeeping at apartments and Community Building</t>
  </si>
  <si>
    <t>Furnish and install new framing at bathroom surrounds at all openings</t>
  </si>
  <si>
    <t>Remove and replace gutters, includes metal strainer and leafguard</t>
  </si>
  <si>
    <t>Allowance - Remove and replace 20% of residential siding</t>
  </si>
  <si>
    <t>Install caulking at new countertops and kitchen sinks including Community Building kitchen</t>
  </si>
  <si>
    <r>
      <rPr>
        <b/>
        <sz val="11"/>
        <rFont val="Calibri"/>
        <family val="2"/>
        <scheme val="minor"/>
      </rPr>
      <t>Add Alternate.</t>
    </r>
    <r>
      <rPr>
        <sz val="11"/>
        <rFont val="Calibri"/>
        <family val="2"/>
        <scheme val="minor"/>
      </rPr>
      <t xml:space="preserve"> Install caulking at new countertops and kitchen sinks</t>
    </r>
  </si>
  <si>
    <t>Provide new sealant at screen door - weatherstripping</t>
  </si>
  <si>
    <t>Provide new sealant at mechanical room door - weatherstripping</t>
  </si>
  <si>
    <t xml:space="preserve">Provide fire stopping around new plumbing piping in the ADA apt bathroom's chase wall </t>
  </si>
  <si>
    <t>Provide fire stopping around new plumbing piping community room kitchenette</t>
  </si>
  <si>
    <t>Allowance - Provide sheetrock patching at blocking and additional damages - 10sf per apartment</t>
  </si>
  <si>
    <r>
      <rPr>
        <b/>
        <sz val="11"/>
        <rFont val="Calibri"/>
        <family val="2"/>
        <scheme val="minor"/>
      </rPr>
      <t>Add Alternate.</t>
    </r>
    <r>
      <rPr>
        <sz val="11"/>
        <rFont val="Calibri"/>
        <family val="2"/>
        <scheme val="minor"/>
      </rPr>
      <t xml:space="preserve"> Remove and replace ceramic backsplash at wall between upper and lower cabinets in kitchen</t>
    </r>
  </si>
  <si>
    <t>Remove and replace ceramic backsplash at wall between upper and lower cabinets in kitchen</t>
  </si>
  <si>
    <t>Furnish and install bathroom tile wall at new showers</t>
  </si>
  <si>
    <t>Furnish and install ceramic tile at kitchen back splash at community room</t>
  </si>
  <si>
    <t>Paint repairs/touch-ups at window replacements</t>
  </si>
  <si>
    <t>Remove and replace medicine cabinet at Apt B16</t>
  </si>
  <si>
    <t>Furnish and install new mirror at sink</t>
  </si>
  <si>
    <t xml:space="preserve">Remove and replace grab bar set at toilet in apt. D31, D32, F48, M102 </t>
  </si>
  <si>
    <t xml:space="preserve">Remove and replace grab bar set at shower in apt. D32, F48, l92 </t>
  </si>
  <si>
    <t>location</t>
  </si>
  <si>
    <t>Provide complete grab bar set at new showers</t>
  </si>
  <si>
    <t>Remove and replace bathroom mirror at apt. B16</t>
  </si>
  <si>
    <t>Furnish and install new toilet grab bar set of 2</t>
  </si>
  <si>
    <t>Allowance - Construct ATS room</t>
  </si>
  <si>
    <t>Furnish and install new 20/208V, 3PH, 4W, 80KW gas generator, including all wiring and panels per E-200</t>
  </si>
  <si>
    <t xml:space="preserve">Provide testing, visual report, straighting, and vacuum cleaning of all components of Fintube radiator system. Generate report detailing coponents in need of replacement with associated cost. Provie report to owner. </t>
  </si>
  <si>
    <t>Remove and replace fin tube radiator covers</t>
  </si>
  <si>
    <t>Bathrooms</t>
  </si>
  <si>
    <t>Remove and replace lavatory and faucet in Unit B16</t>
  </si>
  <si>
    <t>Furnish and install new 1/4'' cold water supply from existing 3/4'' supply in ceiling above serving new water cooler</t>
  </si>
  <si>
    <t>Furnish and install waterproofing and new tile floors at community room kitchen, includes tile wall-base</t>
  </si>
  <si>
    <t>Expeditor Fees</t>
  </si>
  <si>
    <t>Temporary Protection</t>
  </si>
  <si>
    <t>Allowance - Prime &amp; paint walls and ceiling at Community Building kitchen</t>
  </si>
  <si>
    <r>
      <rPr>
        <b/>
        <sz val="11"/>
        <rFont val="Calibri"/>
        <family val="2"/>
        <scheme val="minor"/>
      </rPr>
      <t>Add Alternate.</t>
    </r>
    <r>
      <rPr>
        <sz val="11"/>
        <rFont val="Calibri"/>
        <family val="2"/>
        <scheme val="minor"/>
      </rPr>
      <t xml:space="preserve"> Furnish and install gas flex connection for range</t>
    </r>
  </si>
  <si>
    <t>Furnish and install gas flex connection for range in apartments and Community Building</t>
  </si>
  <si>
    <r>
      <rPr>
        <b/>
        <sz val="11"/>
        <rFont val="Calibri"/>
        <family val="2"/>
        <scheme val="minor"/>
      </rPr>
      <t>Add Alternate.</t>
    </r>
    <r>
      <rPr>
        <sz val="11"/>
        <rFont val="Calibri"/>
        <family val="2"/>
        <scheme val="minor"/>
      </rPr>
      <t xml:space="preserve"> Furnish and install new countertop microwave</t>
    </r>
  </si>
  <si>
    <t>Allowance - Remove and replace kitchen cabinets with painted wood finish</t>
  </si>
  <si>
    <r>
      <rPr>
        <b/>
        <sz val="11"/>
        <rFont val="Calibri"/>
        <family val="2"/>
        <scheme val="minor"/>
      </rPr>
      <t xml:space="preserve">Add Alternate. </t>
    </r>
    <r>
      <rPr>
        <sz val="11"/>
        <rFont val="Calibri"/>
        <family val="2"/>
        <scheme val="minor"/>
      </rPr>
      <t>Allowance -</t>
    </r>
    <r>
      <rPr>
        <b/>
        <sz val="11"/>
        <rFont val="Calibri"/>
        <family val="2"/>
        <scheme val="minor"/>
      </rPr>
      <t xml:space="preserve"> </t>
    </r>
    <r>
      <rPr>
        <sz val="11"/>
        <rFont val="Calibri"/>
        <family val="2"/>
        <scheme val="minor"/>
      </rPr>
      <t>Remove and replace kitchen cabinets with painted wood finish</t>
    </r>
  </si>
  <si>
    <t>Allowance - Remove and replace quartz countertop</t>
  </si>
  <si>
    <t>Remove and replace kitchen sink, faucet, shut-off valves, traps and stops in the kitchen, onto existing roughing</t>
  </si>
  <si>
    <r>
      <rPr>
        <b/>
        <sz val="11"/>
        <rFont val="Calibri"/>
        <family val="2"/>
        <scheme val="minor"/>
      </rPr>
      <t>Add Alternate.</t>
    </r>
    <r>
      <rPr>
        <sz val="11"/>
        <rFont val="Calibri"/>
        <family val="2"/>
        <scheme val="minor"/>
      </rPr>
      <t xml:space="preserve"> Remove and replace kitchen sink, faucet, shut-off valves, traps and stops in the kitchen, onto existing roughing</t>
    </r>
  </si>
  <si>
    <t>Remove and replace water heater, includes installation with all needed trim and connections. Includes fresh air intake, boiler flue replacement connecting to existing</t>
  </si>
  <si>
    <t xml:space="preserve">Isolate, drain down and remove (2) existing in‑line hot‑water pumps serving each boiler. Furnish and install new pumps, retrim, and rebalance system. </t>
  </si>
  <si>
    <r>
      <rPr>
        <b/>
        <sz val="11"/>
        <rFont val="Calibri"/>
        <family val="2"/>
        <scheme val="minor"/>
      </rPr>
      <t xml:space="preserve">Add Alternate. </t>
    </r>
    <r>
      <rPr>
        <sz val="11"/>
        <rFont val="Calibri"/>
        <family val="2"/>
        <scheme val="minor"/>
      </rPr>
      <t>Remove and replace ceiling mounted toilet exhaust fan</t>
    </r>
  </si>
  <si>
    <t>MECHANICAL</t>
  </si>
  <si>
    <t>Remove existing water heater and connections. Furnish and install new water heater with all needed piping, trim, and connections from exsiting gas meter and water supply. Includes new run of roughly 50' of 1-1/4''' gas piping from meter to new water heater. Includes reconnecting boiler flue sections to existing flue</t>
  </si>
  <si>
    <t>Remove and replace 1'' control valve and thermostat. Include all piping, trim, and connections. Utilize surface mounted raceway</t>
  </si>
  <si>
    <t xml:space="preserve">Remove and replace light switch in kitchen 
</t>
  </si>
  <si>
    <t>Remove and replace receptacle with Tamper Resistant Receptacle</t>
  </si>
  <si>
    <t>Remove receptacle with GFCI Tampor Proof Receptacle.</t>
  </si>
  <si>
    <t>Allowance - Adder if smoke detector is hard wired</t>
  </si>
  <si>
    <t>Remove and replace battery powered smoke detector</t>
  </si>
  <si>
    <t>Allowance - Provide sheetrock patching at new under cabinet lighting - 10sf per apartment</t>
  </si>
  <si>
    <t xml:space="preserve">Disconnect and reuse existing circuit for new dual pumps. 2 connections per boiler room. </t>
  </si>
  <si>
    <t xml:space="preserve">Disconnect Existing Water Heater. Reuse existing circuit to Reconnect new Water Heater </t>
  </si>
  <si>
    <t>Remove and replace 120/208 V, 1-phase, 3-wire, 125 A, (MLO) panelboard, 18 poles minimum, Electrical Panel w/ 7 New Circuit Breakers. Rewire existng circuits to new panel.</t>
  </si>
  <si>
    <t>Furnish and install under cabinet light fixture, switch, and extend circuitry from nearest unswitched lighting circuit</t>
  </si>
  <si>
    <t>Furnish and install combination emergency light and exit sign</t>
  </si>
  <si>
    <t>Remove and replace 120/208 V, 1-phase, 3-wire, 200 A, (MLO) panelboard, 42 poles minimum include rewiring. Inlcudes (3) 20amp breakers for appliances</t>
  </si>
  <si>
    <t>Allowance - Install new wood benches on concrete footings at Community Building</t>
  </si>
  <si>
    <r>
      <rPr>
        <b/>
        <sz val="11"/>
        <rFont val="Calibri"/>
        <family val="2"/>
        <scheme val="minor"/>
      </rPr>
      <t xml:space="preserve">Add Alternate. </t>
    </r>
    <r>
      <rPr>
        <sz val="11"/>
        <rFont val="Calibri"/>
        <family val="2"/>
        <scheme val="minor"/>
      </rPr>
      <t>Allowance -</t>
    </r>
    <r>
      <rPr>
        <b/>
        <sz val="11"/>
        <rFont val="Calibri"/>
        <family val="2"/>
        <scheme val="minor"/>
      </rPr>
      <t xml:space="preserve"> </t>
    </r>
    <r>
      <rPr>
        <sz val="11"/>
        <rFont val="Calibri"/>
        <family val="2"/>
        <scheme val="minor"/>
      </rPr>
      <t>Remove and replace quartz countertop</t>
    </r>
  </si>
  <si>
    <t>Provide labor and material to reseal and restripe entire parking area.</t>
  </si>
  <si>
    <t>Pricing Sheet</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</si>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</sst>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General_)"/>
  </numFmts>
  <fonts count="12" x14ac:knownFonts="1">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b/>
      <sz val="11"/>
      <color rgb="FFFF0000"/>
      <name val="Calibri"/>
      <family val="2"/>
      <scheme val="minor"/>
    </font>
    <font>
      <b/>
      <sz val="11"/>
      <color theme="0"/>
      <name val="Calibri"/>
      <family val="2"/>
      <scheme val="minor"/>
    </font>
    <font>
      <sz val="11"/>
      <color rgb="FFFF0000"/>
      <name val="Calibri"/>
      <family val="2"/>
      <scheme val="minor"/>
    </font>
    <font>
      <sz val="10"/>
      <color rgb="FF000000"/>
      <name val="Times New Roman"/>
      <family val="1"/>
    </font>
    <font>
      <sz val="12"/>
      <name val="Helv"/>
    </font>
    <font>
      <sz val="11"/>
      <color rgb="FF000000"/>
      <name val="Calibri"/>
      <family val="2"/>
      <scheme val="minor"/>
    </font>
    <font>
      <sz val="10"/>
      <name val="Arial"/>
      <family val="2"/>
    </font>
    <font>
      <b/>
      <i/>
      <u/>
      <sz val="1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3"/>
        <bgColor indexed="64"/>
      </patternFill>
    </fill>
    <fill>
      <patternFill patternType="solid">
        <fgColor theme="2"/>
        <bgColor indexed="64"/>
      </patternFill>
    </fill>
    <fill>
      <patternFill patternType="solid">
        <fgColor theme="3" tint="0.39997558519241921"/>
        <bgColor indexed="64"/>
      </patternFill>
    </fill>
  </fills>
  <borders count="8">
    <border>
      <left/>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right/>
      <top style="thin">
        <color indexed="64"/>
      </top>
      <bottom style="double">
        <color indexed="64"/>
      </bottom>
      <diagonal/>
    </border>
    <border>
      <left/>
      <right style="thin">
        <color auto="1"/>
      </right>
      <top style="thin">
        <color auto="1"/>
      </top>
      <bottom style="double">
        <color indexed="64"/>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0" fontId="7" fillId="0" borderId="0"/>
    <xf numFmtId="165" fontId="8" fillId="0" borderId="0"/>
    <xf numFmtId="0" fontId="10" fillId="0" borderId="0"/>
  </cellStyleXfs>
  <cellXfs count="110">
    <xf numFmtId="0" fontId="0" fillId="0" borderId="0" xfId="0"/>
    <xf numFmtId="0" fontId="2" fillId="2" borderId="0" xfId="0" applyFont="1" applyFill="1" applyAlignment="1">
      <alignment vertical="top"/>
    </xf>
    <xf numFmtId="0" fontId="3" fillId="2" borderId="0" xfId="0" applyFont="1" applyFill="1" applyAlignment="1">
      <alignment horizontal="center" vertical="top"/>
    </xf>
    <xf numFmtId="0" fontId="2" fillId="2" borderId="0" xfId="0" applyFont="1" applyFill="1" applyAlignment="1">
      <alignment horizontal="right" vertical="top"/>
    </xf>
    <xf numFmtId="0" fontId="3" fillId="0" borderId="0" xfId="0" applyFont="1" applyAlignment="1">
      <alignment vertical="top" wrapText="1"/>
    </xf>
    <xf numFmtId="43" fontId="3" fillId="2" borderId="0" xfId="1" applyFont="1" applyFill="1" applyAlignment="1">
      <alignment horizontal="left" vertical="top"/>
    </xf>
    <xf numFmtId="44" fontId="3" fillId="2" borderId="0" xfId="2" applyFont="1" applyFill="1" applyAlignment="1">
      <alignment horizontal="left" vertical="top"/>
    </xf>
    <xf numFmtId="44" fontId="2" fillId="2" borderId="0" xfId="2" applyFont="1" applyFill="1" applyAlignment="1">
      <alignment vertical="top"/>
    </xf>
    <xf numFmtId="164" fontId="2" fillId="2" borderId="0" xfId="2" applyNumberFormat="1" applyFont="1" applyFill="1" applyAlignment="1">
      <alignment vertical="top"/>
    </xf>
    <xf numFmtId="44" fontId="4" fillId="2" borderId="0" xfId="2" applyFont="1" applyFill="1" applyAlignment="1">
      <alignment vertical="top"/>
    </xf>
    <xf numFmtId="0" fontId="0" fillId="0" borderId="0" xfId="0" applyAlignment="1">
      <alignment vertical="top"/>
    </xf>
    <xf numFmtId="0" fontId="2" fillId="2" borderId="0" xfId="0" applyFont="1" applyFill="1" applyAlignment="1">
      <alignment horizontal="center" vertical="top" wrapText="1"/>
    </xf>
    <xf numFmtId="44" fontId="3" fillId="2" borderId="0" xfId="2" applyFont="1" applyFill="1" applyAlignment="1">
      <alignment vertical="top"/>
    </xf>
    <xf numFmtId="164" fontId="3" fillId="2" borderId="0" xfId="2" applyNumberFormat="1" applyFont="1" applyFill="1" applyAlignment="1">
      <alignment vertical="top"/>
    </xf>
    <xf numFmtId="44" fontId="6" fillId="2" borderId="0" xfId="2" applyFont="1" applyFill="1" applyAlignment="1">
      <alignment vertical="top"/>
    </xf>
    <xf numFmtId="2" fontId="5" fillId="4" borderId="0" xfId="3" applyNumberFormat="1" applyFont="1" applyFill="1" applyAlignment="1">
      <alignment horizontal="left" vertical="top"/>
    </xf>
    <xf numFmtId="0" fontId="2" fillId="4" borderId="0" xfId="3" applyFont="1" applyFill="1" applyAlignment="1">
      <alignment vertical="top"/>
    </xf>
    <xf numFmtId="0" fontId="2" fillId="4" borderId="0" xfId="3" applyFont="1" applyFill="1" applyAlignment="1">
      <alignment vertical="top" wrapText="1"/>
    </xf>
    <xf numFmtId="43" fontId="3" fillId="4" borderId="0" xfId="1" applyFont="1" applyFill="1" applyAlignment="1">
      <alignment horizontal="left" vertical="top" wrapText="1"/>
    </xf>
    <xf numFmtId="44" fontId="6" fillId="4" borderId="0" xfId="2" applyFont="1" applyFill="1" applyAlignment="1">
      <alignment vertical="top" wrapText="1"/>
    </xf>
    <xf numFmtId="43" fontId="2" fillId="4" borderId="0" xfId="1" applyFont="1" applyFill="1" applyAlignment="1">
      <alignment horizontal="left" vertical="top" wrapText="1"/>
    </xf>
    <xf numFmtId="44" fontId="4" fillId="4" borderId="0" xfId="2" applyFont="1" applyFill="1" applyAlignment="1">
      <alignment vertical="top" wrapText="1"/>
    </xf>
    <xf numFmtId="0" fontId="3" fillId="0" borderId="0" xfId="0" applyFont="1" applyAlignment="1">
      <alignment horizontal="center" vertical="top"/>
    </xf>
    <xf numFmtId="0" fontId="3" fillId="0" borderId="0" xfId="0" applyFont="1" applyAlignment="1">
      <alignment horizontal="center" vertical="top" wrapText="1"/>
    </xf>
    <xf numFmtId="43" fontId="3" fillId="0" borderId="0" xfId="1" applyFont="1" applyAlignment="1">
      <alignment horizontal="left" vertical="top"/>
    </xf>
    <xf numFmtId="44" fontId="3" fillId="0" borderId="0" xfId="2" applyFont="1" applyFill="1" applyAlignment="1">
      <alignment horizontal="left" vertical="top"/>
    </xf>
    <xf numFmtId="44" fontId="3" fillId="0" borderId="0" xfId="2" applyFont="1" applyAlignment="1">
      <alignment horizontal="right" vertical="top"/>
    </xf>
    <xf numFmtId="164" fontId="3" fillId="0" borderId="0" xfId="2" applyNumberFormat="1" applyFont="1" applyAlignment="1">
      <alignment vertical="top"/>
    </xf>
    <xf numFmtId="44" fontId="6" fillId="0" borderId="0" xfId="2" applyFont="1" applyAlignment="1">
      <alignment vertical="top"/>
    </xf>
    <xf numFmtId="49" fontId="2" fillId="5" borderId="1" xfId="0" applyNumberFormat="1" applyFont="1" applyFill="1" applyBorder="1" applyAlignment="1">
      <alignment horizontal="center" vertical="top"/>
    </xf>
    <xf numFmtId="49" fontId="2" fillId="5" borderId="1" xfId="0" applyNumberFormat="1" applyFont="1" applyFill="1" applyBorder="1" applyAlignment="1">
      <alignment horizontal="center" vertical="top" wrapText="1"/>
    </xf>
    <xf numFmtId="0" fontId="2" fillId="5" borderId="1" xfId="0" applyFont="1" applyFill="1" applyBorder="1" applyAlignment="1">
      <alignment horizontal="center" vertical="top" wrapText="1"/>
    </xf>
    <xf numFmtId="43" fontId="2" fillId="5" borderId="1" xfId="1" applyFont="1" applyFill="1" applyBorder="1" applyAlignment="1">
      <alignment horizontal="center" vertical="top" wrapText="1"/>
    </xf>
    <xf numFmtId="44" fontId="2" fillId="5" borderId="1" xfId="2" applyFont="1" applyFill="1" applyBorder="1" applyAlignment="1">
      <alignment horizontal="center" vertical="top" wrapText="1"/>
    </xf>
    <xf numFmtId="164" fontId="2" fillId="5" borderId="1" xfId="2" applyNumberFormat="1" applyFont="1" applyFill="1" applyBorder="1" applyAlignment="1">
      <alignment horizontal="center" vertical="top" wrapText="1"/>
    </xf>
    <xf numFmtId="44" fontId="2" fillId="5" borderId="1" xfId="2" applyFont="1" applyFill="1" applyBorder="1" applyAlignment="1">
      <alignment vertical="top" wrapText="1"/>
    </xf>
    <xf numFmtId="0" fontId="3" fillId="6" borderId="2" xfId="0" applyFont="1" applyFill="1" applyBorder="1" applyAlignment="1">
      <alignment vertical="top"/>
    </xf>
    <xf numFmtId="0" fontId="5" fillId="6" borderId="2" xfId="0" applyFont="1" applyFill="1" applyBorder="1" applyAlignment="1">
      <alignment horizontal="left" vertical="top"/>
    </xf>
    <xf numFmtId="0" fontId="3" fillId="6" borderId="2" xfId="0" applyFont="1" applyFill="1" applyBorder="1" applyAlignment="1">
      <alignment vertical="top" wrapText="1"/>
    </xf>
    <xf numFmtId="43" fontId="3" fillId="6" borderId="2" xfId="1" applyFont="1" applyFill="1" applyBorder="1" applyAlignment="1">
      <alignment horizontal="left" vertical="top"/>
    </xf>
    <xf numFmtId="0" fontId="3" fillId="6" borderId="2" xfId="0" applyFont="1" applyFill="1" applyBorder="1" applyAlignment="1">
      <alignment horizontal="center" vertical="top"/>
    </xf>
    <xf numFmtId="44" fontId="3" fillId="6" borderId="2" xfId="2" applyFont="1" applyFill="1" applyBorder="1" applyAlignment="1">
      <alignment horizontal="left" vertical="top"/>
    </xf>
    <xf numFmtId="44" fontId="3" fillId="6" borderId="2" xfId="2" applyFont="1" applyFill="1" applyBorder="1" applyAlignment="1">
      <alignment vertical="top"/>
    </xf>
    <xf numFmtId="164" fontId="3" fillId="6" borderId="2" xfId="2" applyNumberFormat="1" applyFont="1" applyFill="1" applyBorder="1" applyAlignment="1">
      <alignment vertical="top"/>
    </xf>
    <xf numFmtId="0" fontId="6" fillId="6" borderId="3" xfId="2" applyNumberFormat="1" applyFont="1" applyFill="1" applyBorder="1" applyAlignment="1">
      <alignment vertical="top"/>
    </xf>
    <xf numFmtId="1" fontId="3" fillId="5" borderId="2" xfId="0" applyNumberFormat="1" applyFont="1" applyFill="1" applyBorder="1" applyAlignment="1">
      <alignment horizontal="center" vertical="top"/>
    </xf>
    <xf numFmtId="49" fontId="2" fillId="5" borderId="2" xfId="0" quotePrefix="1" applyNumberFormat="1" applyFont="1" applyFill="1" applyBorder="1" applyAlignment="1">
      <alignment horizontal="left" vertical="top"/>
    </xf>
    <xf numFmtId="1" fontId="3" fillId="5" borderId="2" xfId="0" applyNumberFormat="1" applyFont="1" applyFill="1" applyBorder="1" applyAlignment="1">
      <alignment horizontal="center" vertical="top" wrapText="1"/>
    </xf>
    <xf numFmtId="0" fontId="2" fillId="5" borderId="2" xfId="0" applyFont="1" applyFill="1" applyBorder="1" applyAlignment="1">
      <alignment horizontal="left" vertical="top" wrapText="1"/>
    </xf>
    <xf numFmtId="43" fontId="3" fillId="5" borderId="2" xfId="1" applyFont="1" applyFill="1" applyBorder="1" applyAlignment="1">
      <alignment horizontal="left" vertical="top"/>
    </xf>
    <xf numFmtId="0" fontId="3" fillId="5" borderId="2" xfId="0" applyFont="1" applyFill="1" applyBorder="1" applyAlignment="1">
      <alignment horizontal="center" vertical="top"/>
    </xf>
    <xf numFmtId="44" fontId="3" fillId="5" borderId="2" xfId="2" applyFont="1" applyFill="1" applyBorder="1" applyAlignment="1">
      <alignment horizontal="left" vertical="top"/>
    </xf>
    <xf numFmtId="44" fontId="3" fillId="5" borderId="2" xfId="2" applyFont="1" applyFill="1" applyBorder="1" applyAlignment="1">
      <alignment vertical="top"/>
    </xf>
    <xf numFmtId="164" fontId="3" fillId="5" borderId="2" xfId="2" applyNumberFormat="1" applyFont="1" applyFill="1" applyBorder="1" applyAlignment="1">
      <alignment vertical="top"/>
    </xf>
    <xf numFmtId="0" fontId="6" fillId="5" borderId="3" xfId="2" applyNumberFormat="1" applyFont="1" applyFill="1" applyBorder="1" applyAlignment="1">
      <alignment vertical="top"/>
    </xf>
    <xf numFmtId="0" fontId="2" fillId="5" borderId="2" xfId="0" applyFont="1" applyFill="1" applyBorder="1" applyAlignment="1">
      <alignment vertical="top"/>
    </xf>
    <xf numFmtId="0" fontId="2" fillId="5" borderId="2" xfId="0" applyFont="1" applyFill="1" applyBorder="1" applyAlignment="1">
      <alignment horizontal="left" vertical="top"/>
    </xf>
    <xf numFmtId="0" fontId="2" fillId="5" borderId="2" xfId="0" applyFont="1" applyFill="1" applyBorder="1" applyAlignment="1">
      <alignment vertical="top" wrapText="1"/>
    </xf>
    <xf numFmtId="43" fontId="2" fillId="5" borderId="2" xfId="1" applyFont="1" applyFill="1" applyBorder="1" applyAlignment="1">
      <alignment horizontal="left" vertical="top"/>
    </xf>
    <xf numFmtId="0" fontId="2" fillId="5" borderId="2" xfId="0" applyFont="1" applyFill="1" applyBorder="1" applyAlignment="1">
      <alignment horizontal="center" vertical="top"/>
    </xf>
    <xf numFmtId="44" fontId="2" fillId="5" borderId="2" xfId="2" applyFont="1" applyFill="1" applyBorder="1" applyAlignment="1">
      <alignment horizontal="left" vertical="top"/>
    </xf>
    <xf numFmtId="44" fontId="2" fillId="5" borderId="3" xfId="2" applyFont="1" applyFill="1" applyBorder="1" applyAlignment="1">
      <alignment horizontal="right" vertical="top"/>
    </xf>
    <xf numFmtId="164" fontId="3" fillId="5" borderId="4" xfId="2" applyNumberFormat="1" applyFont="1" applyFill="1" applyBorder="1" applyAlignment="1">
      <alignment vertical="top" wrapText="1"/>
    </xf>
    <xf numFmtId="0" fontId="6" fillId="5" borderId="5" xfId="2" applyNumberFormat="1" applyFont="1" applyFill="1" applyBorder="1" applyAlignment="1">
      <alignment vertical="top" wrapText="1"/>
    </xf>
    <xf numFmtId="44" fontId="3" fillId="0" borderId="0" xfId="2" applyFont="1" applyAlignment="1">
      <alignment horizontal="left" vertical="top"/>
    </xf>
    <xf numFmtId="44" fontId="3" fillId="0" borderId="0" xfId="2" applyFont="1" applyAlignment="1">
      <alignment vertical="top"/>
    </xf>
    <xf numFmtId="0" fontId="6" fillId="0" borderId="0" xfId="2" applyNumberFormat="1" applyFont="1" applyAlignment="1">
      <alignment vertical="top"/>
    </xf>
    <xf numFmtId="0" fontId="3" fillId="0" borderId="1" xfId="0" applyFont="1" applyBorder="1" applyAlignment="1">
      <alignment horizontal="center" vertical="top"/>
    </xf>
    <xf numFmtId="0" fontId="3" fillId="0" borderId="1" xfId="0" quotePrefix="1" applyFont="1" applyBorder="1" applyAlignment="1">
      <alignment horizontal="center" vertical="top"/>
    </xf>
    <xf numFmtId="0" fontId="3" fillId="0" borderId="1" xfId="0" applyFont="1" applyBorder="1" applyAlignment="1">
      <alignment horizontal="center" vertical="top" wrapText="1"/>
    </xf>
    <xf numFmtId="0" fontId="2" fillId="3" borderId="1" xfId="0" applyFont="1" applyFill="1" applyBorder="1" applyAlignment="1">
      <alignment vertical="top" wrapText="1"/>
    </xf>
    <xf numFmtId="43" fontId="3" fillId="0" borderId="1" xfId="1" applyFont="1" applyFill="1" applyBorder="1" applyAlignment="1">
      <alignment horizontal="left" vertical="top" wrapText="1"/>
    </xf>
    <xf numFmtId="44" fontId="3" fillId="0" borderId="1" xfId="2" applyFont="1" applyFill="1" applyBorder="1" applyAlignment="1">
      <alignment horizontal="center" vertical="top" wrapText="1"/>
    </xf>
    <xf numFmtId="44" fontId="3" fillId="0" borderId="1" xfId="2" applyFont="1" applyFill="1" applyBorder="1" applyAlignment="1">
      <alignment vertical="top" wrapText="1"/>
    </xf>
    <xf numFmtId="164" fontId="9" fillId="0" borderId="1" xfId="2" applyNumberFormat="1" applyFont="1" applyFill="1" applyBorder="1" applyAlignment="1">
      <alignment vertical="top" wrapText="1"/>
    </xf>
    <xf numFmtId="0" fontId="6" fillId="0" borderId="1" xfId="2" applyNumberFormat="1" applyFont="1" applyFill="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left" vertical="top" wrapText="1"/>
    </xf>
    <xf numFmtId="37" fontId="3" fillId="0" borderId="1" xfId="0" applyNumberFormat="1" applyFont="1" applyBorder="1" applyAlignment="1">
      <alignment horizontal="center" vertical="top"/>
    </xf>
    <xf numFmtId="1" fontId="3" fillId="0" borderId="6" xfId="0" applyNumberFormat="1" applyFont="1" applyBorder="1" applyAlignment="1">
      <alignment horizontal="center" vertical="top" wrapText="1"/>
    </xf>
    <xf numFmtId="0" fontId="2" fillId="3" borderId="1" xfId="0" applyFont="1" applyFill="1" applyBorder="1" applyAlignment="1">
      <alignment horizontal="left" vertical="top" wrapText="1"/>
    </xf>
    <xf numFmtId="43" fontId="3" fillId="0" borderId="1" xfId="1" applyFont="1" applyBorder="1" applyAlignment="1" applyProtection="1">
      <alignment horizontal="left" vertical="top"/>
      <protection locked="0"/>
    </xf>
    <xf numFmtId="37" fontId="3" fillId="0" borderId="1" xfId="0" applyNumberFormat="1" applyFont="1" applyBorder="1" applyAlignment="1">
      <alignment horizontal="center" vertical="top" wrapText="1"/>
    </xf>
    <xf numFmtId="44" fontId="3" fillId="0" borderId="1" xfId="2" applyFont="1" applyFill="1" applyBorder="1" applyAlignment="1">
      <alignment horizontal="left" vertical="top" wrapText="1"/>
    </xf>
    <xf numFmtId="44" fontId="6" fillId="5" borderId="5" xfId="2" applyFont="1" applyFill="1" applyBorder="1" applyAlignment="1">
      <alignment vertical="top" wrapText="1"/>
    </xf>
    <xf numFmtId="1" fontId="3" fillId="0" borderId="1" xfId="0" applyNumberFormat="1" applyFont="1" applyBorder="1" applyAlignment="1">
      <alignment horizontal="center" vertical="top" wrapText="1"/>
    </xf>
    <xf numFmtId="164" fontId="2" fillId="0" borderId="0" xfId="2" applyNumberFormat="1" applyFont="1" applyAlignment="1">
      <alignment vertical="top"/>
    </xf>
    <xf numFmtId="49" fontId="3" fillId="0" borderId="1" xfId="0" applyNumberFormat="1" applyFont="1" applyBorder="1" applyAlignment="1">
      <alignment horizontal="left" vertical="top" wrapText="1"/>
    </xf>
    <xf numFmtId="43" fontId="3" fillId="0" borderId="1" xfId="1" applyFont="1" applyFill="1" applyBorder="1" applyAlignment="1" applyProtection="1">
      <alignment horizontal="left" vertical="top"/>
      <protection locked="0"/>
    </xf>
    <xf numFmtId="44" fontId="0" fillId="0" borderId="1" xfId="2" applyFont="1" applyFill="1" applyBorder="1" applyAlignment="1">
      <alignment horizontal="left" vertical="top" wrapText="1"/>
    </xf>
    <xf numFmtId="0" fontId="3" fillId="0" borderId="7" xfId="0" applyFont="1" applyBorder="1" applyAlignment="1">
      <alignment horizontal="left" vertical="top" wrapText="1"/>
    </xf>
    <xf numFmtId="0" fontId="3" fillId="0" borderId="0" xfId="0" applyFont="1" applyAlignment="1">
      <alignment vertical="top"/>
    </xf>
    <xf numFmtId="0" fontId="3" fillId="0" borderId="0" xfId="0" applyFont="1" applyAlignment="1">
      <alignment horizontal="left" vertical="top"/>
    </xf>
    <xf numFmtId="44" fontId="2" fillId="0" borderId="0" xfId="2" applyFont="1" applyAlignment="1">
      <alignment vertical="top"/>
    </xf>
    <xf numFmtId="0" fontId="4" fillId="0" borderId="0" xfId="2" applyNumberFormat="1" applyFont="1" applyAlignment="1">
      <alignment vertical="top"/>
    </xf>
    <xf numFmtId="44" fontId="3" fillId="0" borderId="1" xfId="2" applyFont="1" applyFill="1" applyBorder="1" applyAlignment="1">
      <alignment horizontal="left" vertical="top"/>
    </xf>
    <xf numFmtId="164" fontId="6" fillId="5" borderId="5" xfId="2" applyNumberFormat="1" applyFont="1" applyFill="1" applyBorder="1" applyAlignment="1">
      <alignment vertical="top" wrapText="1"/>
    </xf>
    <xf numFmtId="3" fontId="3" fillId="0" borderId="1" xfId="0" applyNumberFormat="1" applyFont="1" applyBorder="1" applyAlignment="1">
      <alignment horizontal="center" vertical="top"/>
    </xf>
    <xf numFmtId="43" fontId="3" fillId="0" borderId="0" xfId="0" applyNumberFormat="1" applyFont="1" applyAlignment="1">
      <alignment horizontal="center" vertical="top"/>
    </xf>
    <xf numFmtId="44" fontId="4" fillId="0" borderId="0" xfId="2" applyFont="1" applyAlignment="1">
      <alignment vertical="top"/>
    </xf>
    <xf numFmtId="0" fontId="0" fillId="0" borderId="1" xfId="0" applyBorder="1" applyAlignment="1">
      <alignment horizontal="left" vertical="top" wrapText="1"/>
    </xf>
    <xf numFmtId="0" fontId="3" fillId="0" borderId="1" xfId="0" quotePrefix="1" applyFont="1" applyBorder="1" applyAlignment="1">
      <alignment horizontal="center" vertical="top" wrapText="1"/>
    </xf>
    <xf numFmtId="165" fontId="3" fillId="0" borderId="1" xfId="4" applyFont="1" applyBorder="1" applyAlignment="1">
      <alignment vertical="top" wrapText="1"/>
    </xf>
    <xf numFmtId="44" fontId="1" fillId="0" borderId="1" xfId="2" applyFont="1" applyFill="1" applyBorder="1" applyAlignment="1">
      <alignment horizontal="left" vertical="top" wrapText="1"/>
    </xf>
    <xf numFmtId="43" fontId="3" fillId="0" borderId="0" xfId="1" applyFont="1" applyFill="1" applyAlignment="1">
      <alignment horizontal="left" vertical="top"/>
    </xf>
    <xf numFmtId="44" fontId="2" fillId="0" borderId="0" xfId="2" applyFont="1" applyFill="1" applyAlignment="1">
      <alignment vertical="top"/>
    </xf>
    <xf numFmtId="164" fontId="2" fillId="0" borderId="0" xfId="2" applyNumberFormat="1" applyFont="1" applyFill="1" applyAlignment="1">
      <alignment vertical="top"/>
    </xf>
    <xf numFmtId="44" fontId="4" fillId="0" borderId="0" xfId="2" applyFont="1" applyFill="1" applyAlignment="1">
      <alignment vertical="top"/>
    </xf>
    <xf numFmtId="43" fontId="3" fillId="2" borderId="1" xfId="1" applyFont="1" applyFill="1" applyBorder="1" applyAlignment="1">
      <alignment horizontal="left" vertical="top" wrapText="1"/>
    </xf>
    <xf numFmtId="44" fontId="6" fillId="0" borderId="1" xfId="2" applyFont="1" applyFill="1" applyBorder="1" applyAlignment="1">
      <alignment vertical="top" wrapText="1"/>
    </xf>
  </cellXfs>
  <cellStyles count="6">
    <cellStyle name="Comma" xfId="1" builtinId="3"/>
    <cellStyle name="Currency" xfId="2" builtinId="4"/>
    <cellStyle name="Normal" xfId="0" builtinId="0"/>
    <cellStyle name="Normal 2 2" xfId="3" xr:uid="{D94978E4-BA01-47A4-B712-1AB41958F9D2}"/>
    <cellStyle name="Normal 2 4" xfId="4" xr:uid="{A1243CC2-CF80-4BEE-86BD-303B3C4F57B1}"/>
    <cellStyle name="Normal 3" xfId="5" xr:uid="{E6466A18-FA99-4D32-8ADF-20B00DB1AA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18490</xdr:colOff>
      <xdr:row>0</xdr:row>
      <xdr:rowOff>53787</xdr:rowOff>
    </xdr:from>
    <xdr:to>
      <xdr:col>3</xdr:col>
      <xdr:colOff>429385</xdr:colOff>
      <xdr:row>2</xdr:row>
      <xdr:rowOff>47437</xdr:rowOff>
    </xdr:to>
    <xdr:pic>
      <xdr:nvPicPr>
        <xdr:cNvPr id="2" name="Picture 1" descr="Logo, icon&#10;&#10;Description automatically generated">
          <a:extLst>
            <a:ext uri="{FF2B5EF4-FFF2-40B4-BE49-F238E27FC236}">
              <a16:creationId xmlns:a16="http://schemas.microsoft.com/office/drawing/2014/main" id="{BFEB7DDA-D0AC-44E4-8230-A378067621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3049" y="53787"/>
          <a:ext cx="1349012" cy="377825"/>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FFF66-6EFA-429D-8195-9858D8255983}">
  <sheetPr>
    <pageSetUpPr fitToPage="1"/>
  </sheetPr>
  <dimension ref="A1:BF277"/>
  <sheetViews>
    <sheetView showGridLines="0" tabSelected="1" topLeftCell="B1" zoomScale="85" zoomScaleNormal="85" zoomScaleSheetLayoutView="70" workbookViewId="0">
      <pane ySplit="9" topLeftCell="A181" activePane="bottomLeft" state="frozen"/>
      <selection activeCell="E279" sqref="E279"/>
      <selection pane="bottomLeft" activeCell="D183" sqref="D183"/>
    </sheetView>
  </sheetViews>
  <sheetFormatPr defaultColWidth="9.140625" defaultRowHeight="15" outlineLevelRow="2" outlineLevelCol="1" x14ac:dyDescent="0.25"/>
  <cols>
    <col min="1" max="1" width="16" style="91" hidden="1" customWidth="1" outlineLevel="1"/>
    <col min="2" max="2" width="6.140625" style="22" customWidth="1" collapsed="1"/>
    <col min="3" max="3" width="7.42578125" style="4" customWidth="1"/>
    <col min="4" max="4" width="77.7109375" style="4" customWidth="1"/>
    <col min="5" max="5" width="14.85546875" style="24" customWidth="1"/>
    <col min="6" max="6" width="15" style="22" customWidth="1"/>
    <col min="7" max="7" width="16.7109375" style="64" customWidth="1"/>
    <col min="8" max="8" width="17.85546875" style="93" customWidth="1"/>
    <col min="9" max="9" width="13.5703125" style="86" customWidth="1"/>
    <col min="10" max="10" width="46.85546875" style="99" customWidth="1"/>
    <col min="11" max="29" width="9.140625" style="10"/>
    <col min="30" max="30" width="8.85546875" style="10" customWidth="1"/>
    <col min="31" max="16384" width="9.140625" style="10"/>
  </cols>
  <sheetData>
    <row r="1" spans="1:10" x14ac:dyDescent="0.25">
      <c r="A1" s="1"/>
      <c r="B1" s="2"/>
      <c r="C1" s="3"/>
      <c r="E1" s="5"/>
      <c r="F1" s="6"/>
      <c r="G1" s="6"/>
      <c r="H1" s="7"/>
      <c r="I1" s="8"/>
      <c r="J1" s="9"/>
    </row>
    <row r="2" spans="1:10" x14ac:dyDescent="0.25">
      <c r="A2" s="1"/>
      <c r="B2" s="2"/>
      <c r="C2" s="1"/>
      <c r="E2" s="5"/>
      <c r="F2" s="6"/>
      <c r="G2" s="6"/>
      <c r="H2" s="7"/>
      <c r="I2" s="8"/>
      <c r="J2" s="9"/>
    </row>
    <row r="3" spans="1:10" x14ac:dyDescent="0.25">
      <c r="A3" s="1"/>
      <c r="B3" s="2"/>
      <c r="C3" s="1"/>
      <c r="E3" s="5"/>
      <c r="F3" s="6"/>
      <c r="G3" s="6"/>
      <c r="H3" s="7"/>
      <c r="I3" s="8"/>
      <c r="J3" s="9"/>
    </row>
    <row r="4" spans="1:10" x14ac:dyDescent="0.25">
      <c r="A4" s="2"/>
      <c r="B4" s="2"/>
      <c r="C4" s="11"/>
      <c r="E4" s="5"/>
      <c r="F4" s="6"/>
      <c r="G4" s="6"/>
      <c r="H4" s="12"/>
      <c r="I4" s="13"/>
      <c r="J4" s="14"/>
    </row>
    <row r="5" spans="1:10" x14ac:dyDescent="0.25">
      <c r="A5" s="15"/>
      <c r="B5" s="15" t="s">
        <v>75</v>
      </c>
      <c r="C5" s="17"/>
      <c r="D5" s="17"/>
      <c r="E5" s="18"/>
      <c r="F5" s="18"/>
      <c r="G5" s="18"/>
      <c r="H5" s="18"/>
      <c r="I5" s="18"/>
      <c r="J5" s="19"/>
    </row>
    <row r="6" spans="1:10" x14ac:dyDescent="0.25">
      <c r="A6" s="15"/>
      <c r="B6" s="15" t="s">
        <v>248</v>
      </c>
      <c r="C6" s="17"/>
      <c r="D6" s="17"/>
      <c r="E6" s="20"/>
      <c r="F6" s="20"/>
      <c r="G6" s="20"/>
      <c r="H6" s="20"/>
      <c r="I6" s="20"/>
      <c r="J6" s="21"/>
    </row>
    <row r="7" spans="1:10" x14ac:dyDescent="0.25">
      <c r="A7" s="15"/>
      <c r="B7" s="16"/>
      <c r="C7" s="17"/>
      <c r="D7" s="17"/>
      <c r="E7" s="20"/>
      <c r="F7" s="20"/>
      <c r="G7" s="20"/>
      <c r="H7" s="20"/>
      <c r="I7" s="20"/>
      <c r="J7" s="21"/>
    </row>
    <row r="8" spans="1:10" x14ac:dyDescent="0.25">
      <c r="A8" s="22"/>
      <c r="C8" s="23"/>
      <c r="D8" s="23"/>
      <c r="G8" s="25"/>
      <c r="H8" s="26"/>
      <c r="I8" s="27"/>
      <c r="J8" s="28"/>
    </row>
    <row r="9" spans="1:10" ht="30" x14ac:dyDescent="0.25">
      <c r="A9" s="29" t="s">
        <v>4</v>
      </c>
      <c r="B9" s="29" t="s">
        <v>5</v>
      </c>
      <c r="C9" s="30" t="s">
        <v>6</v>
      </c>
      <c r="D9" s="31" t="s">
        <v>7</v>
      </c>
      <c r="E9" s="32" t="s">
        <v>8</v>
      </c>
      <c r="F9" s="31" t="s">
        <v>9</v>
      </c>
      <c r="G9" s="33" t="s">
        <v>10</v>
      </c>
      <c r="H9" s="33" t="s">
        <v>11</v>
      </c>
      <c r="I9" s="34" t="s">
        <v>12</v>
      </c>
      <c r="J9" s="35" t="s">
        <v>13</v>
      </c>
    </row>
    <row r="10" spans="1:10" x14ac:dyDescent="0.25">
      <c r="A10" s="36"/>
      <c r="B10" s="37" t="s">
        <v>14</v>
      </c>
      <c r="C10" s="38"/>
      <c r="D10" s="38"/>
      <c r="E10" s="39"/>
      <c r="F10" s="40"/>
      <c r="G10" s="41"/>
      <c r="H10" s="42"/>
      <c r="I10" s="43"/>
      <c r="J10" s="44"/>
    </row>
    <row r="11" spans="1:10" outlineLevel="1" x14ac:dyDescent="0.25">
      <c r="A11" s="45"/>
      <c r="B11" s="46" t="s">
        <v>15</v>
      </c>
      <c r="C11" s="47"/>
      <c r="D11" s="48" t="s">
        <v>16</v>
      </c>
      <c r="E11" s="49"/>
      <c r="F11" s="50"/>
      <c r="G11" s="51"/>
      <c r="H11" s="52"/>
      <c r="I11" s="53"/>
      <c r="J11" s="54"/>
    </row>
    <row r="12" spans="1:10" outlineLevel="2" x14ac:dyDescent="0.25">
      <c r="A12" s="67"/>
      <c r="B12" s="68">
        <v>1</v>
      </c>
      <c r="C12" s="69"/>
      <c r="D12" s="77" t="s">
        <v>216</v>
      </c>
      <c r="E12" s="71"/>
      <c r="F12" s="78"/>
      <c r="G12" s="83"/>
      <c r="H12" s="73">
        <f>$G12*$E12</f>
        <v>0</v>
      </c>
      <c r="I12" s="74"/>
      <c r="J12" s="75"/>
    </row>
    <row r="13" spans="1:10" outlineLevel="2" x14ac:dyDescent="0.25">
      <c r="A13" s="67"/>
      <c r="B13" s="68">
        <v>2</v>
      </c>
      <c r="C13" s="69"/>
      <c r="D13" s="77" t="s">
        <v>217</v>
      </c>
      <c r="E13" s="71"/>
      <c r="F13" s="78"/>
      <c r="G13" s="83"/>
      <c r="H13" s="73">
        <f>$G13*$E13</f>
        <v>0</v>
      </c>
      <c r="I13" s="74"/>
      <c r="J13" s="75"/>
    </row>
    <row r="14" spans="1:10" ht="15.75" outlineLevel="1" thickBot="1" x14ac:dyDescent="0.3">
      <c r="A14" s="55"/>
      <c r="B14" s="56" t="s">
        <v>17</v>
      </c>
      <c r="C14" s="57"/>
      <c r="D14" s="57"/>
      <c r="E14" s="58"/>
      <c r="F14" s="59"/>
      <c r="G14" s="60"/>
      <c r="H14" s="61"/>
      <c r="I14" s="62">
        <f>SUM(H11:H14)</f>
        <v>0</v>
      </c>
      <c r="J14" s="63"/>
    </row>
    <row r="15" spans="1:10" ht="15.75" outlineLevel="1" thickTop="1" x14ac:dyDescent="0.25">
      <c r="A15" s="22"/>
      <c r="C15" s="23"/>
      <c r="D15" s="23"/>
      <c r="H15" s="65"/>
      <c r="I15" s="27"/>
      <c r="J15" s="66"/>
    </row>
    <row r="16" spans="1:10" x14ac:dyDescent="0.25">
      <c r="A16" s="36"/>
      <c r="B16" s="37" t="s">
        <v>18</v>
      </c>
      <c r="C16" s="38"/>
      <c r="D16" s="38"/>
      <c r="E16" s="39"/>
      <c r="F16" s="40"/>
      <c r="G16" s="41"/>
      <c r="H16" s="42"/>
      <c r="I16" s="43"/>
      <c r="J16" s="44"/>
    </row>
    <row r="17" spans="1:10" outlineLevel="1" x14ac:dyDescent="0.25">
      <c r="A17" s="45"/>
      <c r="B17" s="46" t="s">
        <v>145</v>
      </c>
      <c r="C17" s="47"/>
      <c r="D17" s="48" t="s">
        <v>87</v>
      </c>
      <c r="E17" s="49"/>
      <c r="F17" s="50"/>
      <c r="G17" s="51"/>
      <c r="H17" s="52"/>
      <c r="I17" s="53"/>
      <c r="J17" s="54"/>
    </row>
    <row r="18" spans="1:10" outlineLevel="2" x14ac:dyDescent="0.25">
      <c r="A18" s="67" t="s">
        <v>19</v>
      </c>
      <c r="B18" s="101">
        <v>1</v>
      </c>
      <c r="C18" s="69" t="s">
        <v>77</v>
      </c>
      <c r="D18" s="102" t="s">
        <v>76</v>
      </c>
      <c r="E18" s="71">
        <v>1</v>
      </c>
      <c r="F18" s="72" t="s">
        <v>77</v>
      </c>
      <c r="G18" s="103"/>
      <c r="H18" s="73">
        <f t="shared" ref="H18" si="0">$G18*$E18</f>
        <v>0</v>
      </c>
      <c r="I18" s="74"/>
      <c r="J18" s="75"/>
    </row>
    <row r="19" spans="1:10" ht="15.75" outlineLevel="1" thickBot="1" x14ac:dyDescent="0.3">
      <c r="A19" s="55"/>
      <c r="B19" s="56" t="s">
        <v>17</v>
      </c>
      <c r="C19" s="57"/>
      <c r="D19" s="57"/>
      <c r="E19" s="58"/>
      <c r="F19" s="59"/>
      <c r="G19" s="60"/>
      <c r="H19" s="61"/>
      <c r="I19" s="62">
        <f>SUM(H17:H19)</f>
        <v>0</v>
      </c>
      <c r="J19" s="63"/>
    </row>
    <row r="20" spans="1:10" ht="15.75" outlineLevel="1" thickTop="1" x14ac:dyDescent="0.25">
      <c r="A20" s="22"/>
      <c r="C20" s="23"/>
      <c r="D20" s="23"/>
      <c r="H20" s="65"/>
      <c r="I20" s="27"/>
      <c r="J20" s="66"/>
    </row>
    <row r="21" spans="1:10" x14ac:dyDescent="0.25">
      <c r="A21" s="36"/>
      <c r="B21" s="37" t="s">
        <v>21</v>
      </c>
      <c r="C21" s="38"/>
      <c r="D21" s="38"/>
      <c r="E21" s="39"/>
      <c r="F21" s="40"/>
      <c r="G21" s="41"/>
      <c r="H21" s="42"/>
      <c r="I21" s="43"/>
      <c r="J21" s="44"/>
    </row>
    <row r="22" spans="1:10" outlineLevel="1" x14ac:dyDescent="0.25">
      <c r="A22" s="45"/>
      <c r="B22" s="46" t="s">
        <v>140</v>
      </c>
      <c r="C22" s="47"/>
      <c r="D22" s="48" t="s">
        <v>22</v>
      </c>
      <c r="E22" s="49"/>
      <c r="F22" s="50"/>
      <c r="G22" s="51"/>
      <c r="H22" s="52"/>
      <c r="I22" s="53"/>
      <c r="J22" s="54"/>
    </row>
    <row r="23" spans="1:10" ht="30" outlineLevel="2" x14ac:dyDescent="0.25">
      <c r="A23" s="67" t="s">
        <v>23</v>
      </c>
      <c r="B23" s="101">
        <v>1</v>
      </c>
      <c r="C23" s="69"/>
      <c r="D23" s="77" t="s">
        <v>169</v>
      </c>
      <c r="E23" s="71">
        <v>714</v>
      </c>
      <c r="F23" s="78" t="s">
        <v>78</v>
      </c>
      <c r="G23" s="103"/>
      <c r="H23" s="73">
        <f>$G23*$E23</f>
        <v>0</v>
      </c>
      <c r="I23" s="74"/>
      <c r="J23" s="75"/>
    </row>
    <row r="24" spans="1:10" outlineLevel="2" x14ac:dyDescent="0.25">
      <c r="A24" s="67" t="s">
        <v>23</v>
      </c>
      <c r="B24" s="101">
        <v>2</v>
      </c>
      <c r="C24" s="69" t="s">
        <v>77</v>
      </c>
      <c r="D24" s="77" t="s">
        <v>171</v>
      </c>
      <c r="E24" s="71">
        <v>1</v>
      </c>
      <c r="F24" s="78" t="s">
        <v>77</v>
      </c>
      <c r="G24" s="83"/>
      <c r="H24" s="73">
        <f>$G24*$E24</f>
        <v>0</v>
      </c>
      <c r="I24" s="74"/>
      <c r="J24" s="75"/>
    </row>
    <row r="25" spans="1:10" outlineLevel="2" x14ac:dyDescent="0.25">
      <c r="A25" s="67" t="s">
        <v>23</v>
      </c>
      <c r="B25" s="101">
        <v>3</v>
      </c>
      <c r="C25" s="69"/>
      <c r="D25" s="77" t="s">
        <v>170</v>
      </c>
      <c r="E25" s="71">
        <v>1</v>
      </c>
      <c r="F25" s="78" t="s">
        <v>77</v>
      </c>
      <c r="G25" s="103"/>
      <c r="H25" s="73">
        <f>$G25*$E25</f>
        <v>0</v>
      </c>
      <c r="I25" s="74"/>
      <c r="J25" s="75"/>
    </row>
    <row r="26" spans="1:10" ht="30" outlineLevel="2" x14ac:dyDescent="0.25">
      <c r="A26" s="67" t="s">
        <v>23</v>
      </c>
      <c r="B26" s="101">
        <v>4</v>
      </c>
      <c r="C26" s="69"/>
      <c r="D26" s="77" t="s">
        <v>172</v>
      </c>
      <c r="E26" s="71">
        <v>1204</v>
      </c>
      <c r="F26" s="78" t="s">
        <v>78</v>
      </c>
      <c r="G26" s="103"/>
      <c r="H26" s="73">
        <f>$G26*$E26</f>
        <v>0</v>
      </c>
      <c r="I26" s="74"/>
      <c r="J26" s="75"/>
    </row>
    <row r="27" spans="1:10" ht="15.75" outlineLevel="1" thickBot="1" x14ac:dyDescent="0.3">
      <c r="A27" s="55"/>
      <c r="B27" s="56" t="s">
        <v>17</v>
      </c>
      <c r="C27" s="57"/>
      <c r="D27" s="57"/>
      <c r="E27" s="58"/>
      <c r="F27" s="59"/>
      <c r="G27" s="60"/>
      <c r="H27" s="61"/>
      <c r="I27" s="62">
        <f>SUM(H22:H27)</f>
        <v>0</v>
      </c>
      <c r="J27" s="63"/>
    </row>
    <row r="28" spans="1:10" ht="15.75" outlineLevel="1" thickTop="1" x14ac:dyDescent="0.25">
      <c r="A28" s="22"/>
      <c r="C28" s="23"/>
      <c r="D28" s="23"/>
      <c r="H28" s="65"/>
      <c r="I28" s="27"/>
      <c r="J28" s="66"/>
    </row>
    <row r="29" spans="1:10" x14ac:dyDescent="0.25">
      <c r="A29" s="36"/>
      <c r="B29" s="37" t="s">
        <v>143</v>
      </c>
      <c r="C29" s="38"/>
      <c r="D29" s="38"/>
      <c r="E29" s="39"/>
      <c r="F29" s="40"/>
      <c r="G29" s="41"/>
      <c r="H29" s="42"/>
      <c r="I29" s="43"/>
      <c r="J29" s="44"/>
    </row>
    <row r="30" spans="1:10" outlineLevel="1" x14ac:dyDescent="0.25">
      <c r="A30" s="45"/>
      <c r="B30" s="46" t="s">
        <v>144</v>
      </c>
      <c r="C30" s="47"/>
      <c r="D30" s="48" t="s">
        <v>139</v>
      </c>
      <c r="E30" s="49"/>
      <c r="F30" s="50"/>
      <c r="G30" s="51"/>
      <c r="H30" s="52"/>
      <c r="I30" s="53"/>
      <c r="J30" s="54"/>
    </row>
    <row r="31" spans="1:10" outlineLevel="2" x14ac:dyDescent="0.25">
      <c r="A31" s="67" t="s">
        <v>24</v>
      </c>
      <c r="B31" s="101">
        <v>1</v>
      </c>
      <c r="C31" s="69"/>
      <c r="D31" s="77" t="s">
        <v>174</v>
      </c>
      <c r="E31" s="71">
        <v>12</v>
      </c>
      <c r="F31" s="78" t="s">
        <v>126</v>
      </c>
      <c r="G31" s="83"/>
      <c r="H31" s="73">
        <f>$G31*$E31</f>
        <v>0</v>
      </c>
      <c r="I31" s="74"/>
      <c r="J31" s="75"/>
    </row>
    <row r="32" spans="1:10" outlineLevel="2" x14ac:dyDescent="0.25">
      <c r="A32" s="67" t="s">
        <v>24</v>
      </c>
      <c r="B32" s="101">
        <v>2</v>
      </c>
      <c r="C32" s="69"/>
      <c r="D32" s="77" t="s">
        <v>175</v>
      </c>
      <c r="E32" s="71">
        <v>12</v>
      </c>
      <c r="F32" s="78" t="s">
        <v>110</v>
      </c>
      <c r="G32" s="83"/>
      <c r="H32" s="73">
        <f>$G32*$E32</f>
        <v>0</v>
      </c>
      <c r="I32" s="74"/>
      <c r="J32" s="75"/>
    </row>
    <row r="33" spans="1:10" ht="30" outlineLevel="2" x14ac:dyDescent="0.25">
      <c r="A33" s="67" t="s">
        <v>24</v>
      </c>
      <c r="B33" s="101">
        <v>3</v>
      </c>
      <c r="C33" s="69"/>
      <c r="D33" s="77" t="s">
        <v>173</v>
      </c>
      <c r="E33" s="71">
        <v>104</v>
      </c>
      <c r="F33" s="78" t="s">
        <v>110</v>
      </c>
      <c r="G33" s="83"/>
      <c r="H33" s="73"/>
      <c r="I33" s="74"/>
      <c r="J33" s="75"/>
    </row>
    <row r="34" spans="1:10" ht="15.75" outlineLevel="1" thickBot="1" x14ac:dyDescent="0.3">
      <c r="A34" s="55"/>
      <c r="B34" s="56" t="s">
        <v>17</v>
      </c>
      <c r="C34" s="57"/>
      <c r="D34" s="57"/>
      <c r="E34" s="58"/>
      <c r="F34" s="59"/>
      <c r="G34" s="60"/>
      <c r="H34" s="61"/>
      <c r="I34" s="62">
        <f>SUM(H30:H34)</f>
        <v>0</v>
      </c>
      <c r="J34" s="63"/>
    </row>
    <row r="35" spans="1:10" ht="15.75" outlineLevel="1" thickTop="1" x14ac:dyDescent="0.25">
      <c r="A35" s="22"/>
      <c r="C35" s="23"/>
      <c r="D35" s="23"/>
      <c r="H35" s="65"/>
      <c r="I35" s="27"/>
      <c r="J35" s="66"/>
    </row>
    <row r="36" spans="1:10" x14ac:dyDescent="0.25">
      <c r="A36" s="36"/>
      <c r="B36" s="37" t="s">
        <v>25</v>
      </c>
      <c r="C36" s="38"/>
      <c r="D36" s="38"/>
      <c r="E36" s="39"/>
      <c r="F36" s="40"/>
      <c r="G36" s="41"/>
      <c r="H36" s="42"/>
      <c r="I36" s="43"/>
      <c r="J36" s="44"/>
    </row>
    <row r="37" spans="1:10" outlineLevel="1" x14ac:dyDescent="0.25">
      <c r="A37" s="45"/>
      <c r="B37" s="46" t="s">
        <v>27</v>
      </c>
      <c r="C37" s="47"/>
      <c r="D37" s="48" t="s">
        <v>28</v>
      </c>
      <c r="E37" s="49"/>
      <c r="F37" s="50"/>
      <c r="G37" s="51"/>
      <c r="H37" s="52"/>
      <c r="I37" s="53"/>
      <c r="J37" s="54"/>
    </row>
    <row r="38" spans="1:10" outlineLevel="2" x14ac:dyDescent="0.25">
      <c r="A38" s="67" t="s">
        <v>26</v>
      </c>
      <c r="B38" s="85">
        <v>1</v>
      </c>
      <c r="C38" s="69"/>
      <c r="D38" s="80" t="s">
        <v>29</v>
      </c>
      <c r="E38" s="81"/>
      <c r="F38" s="82"/>
      <c r="G38" s="89"/>
      <c r="H38" s="89"/>
      <c r="I38" s="89"/>
      <c r="J38" s="89"/>
    </row>
    <row r="39" spans="1:10" outlineLevel="2" x14ac:dyDescent="0.25">
      <c r="A39" s="67" t="s">
        <v>26</v>
      </c>
      <c r="B39" s="85">
        <v>2</v>
      </c>
      <c r="C39" s="69"/>
      <c r="D39" s="77" t="s">
        <v>179</v>
      </c>
      <c r="E39" s="81">
        <v>30</v>
      </c>
      <c r="F39" s="82" t="s">
        <v>79</v>
      </c>
      <c r="G39" s="83"/>
      <c r="H39" s="73">
        <f>E39*G39</f>
        <v>0</v>
      </c>
      <c r="I39" s="74"/>
      <c r="J39" s="75"/>
    </row>
    <row r="40" spans="1:10" ht="30" outlineLevel="2" x14ac:dyDescent="0.25">
      <c r="A40" s="67" t="s">
        <v>26</v>
      </c>
      <c r="B40" s="85">
        <v>3</v>
      </c>
      <c r="C40" s="69"/>
      <c r="D40" s="76" t="s">
        <v>183</v>
      </c>
      <c r="E40" s="81">
        <v>23</v>
      </c>
      <c r="F40" s="78" t="s">
        <v>93</v>
      </c>
      <c r="G40" s="83"/>
      <c r="H40" s="73">
        <f t="shared" ref="H40" si="1">E40*G40</f>
        <v>0</v>
      </c>
      <c r="I40" s="74"/>
      <c r="J40" s="75"/>
    </row>
    <row r="41" spans="1:10" outlineLevel="2" x14ac:dyDescent="0.25">
      <c r="A41" s="67" t="s">
        <v>26</v>
      </c>
      <c r="B41" s="85">
        <v>4</v>
      </c>
      <c r="C41" s="69"/>
      <c r="D41" s="76" t="s">
        <v>182</v>
      </c>
      <c r="E41" s="81">
        <v>104</v>
      </c>
      <c r="F41" s="78" t="s">
        <v>93</v>
      </c>
      <c r="G41" s="83"/>
      <c r="H41" s="73"/>
      <c r="I41" s="74"/>
      <c r="J41" s="75"/>
    </row>
    <row r="42" spans="1:10" outlineLevel="2" x14ac:dyDescent="0.25">
      <c r="A42" s="67" t="s">
        <v>26</v>
      </c>
      <c r="B42" s="85">
        <v>5</v>
      </c>
      <c r="C42" s="69"/>
      <c r="D42" s="76" t="s">
        <v>178</v>
      </c>
      <c r="E42" s="81">
        <v>1</v>
      </c>
      <c r="F42" s="78" t="s">
        <v>79</v>
      </c>
      <c r="G42" s="83"/>
      <c r="H42" s="73">
        <f t="shared" ref="H42" si="2">E42*G42</f>
        <v>0</v>
      </c>
      <c r="I42" s="74"/>
      <c r="J42" s="75"/>
    </row>
    <row r="43" spans="1:10" outlineLevel="2" x14ac:dyDescent="0.25">
      <c r="A43" s="67" t="s">
        <v>26</v>
      </c>
      <c r="B43" s="85">
        <v>6</v>
      </c>
      <c r="C43" s="69"/>
      <c r="D43" s="77" t="s">
        <v>150</v>
      </c>
      <c r="E43" s="81">
        <v>116</v>
      </c>
      <c r="F43" s="82" t="s">
        <v>93</v>
      </c>
      <c r="G43" s="83"/>
      <c r="H43" s="73">
        <f t="shared" ref="H43:H46" si="3">E43*G43</f>
        <v>0</v>
      </c>
      <c r="I43" s="74"/>
      <c r="J43" s="75"/>
    </row>
    <row r="44" spans="1:10" outlineLevel="2" x14ac:dyDescent="0.25">
      <c r="A44" s="67" t="s">
        <v>26</v>
      </c>
      <c r="B44" s="85">
        <v>7</v>
      </c>
      <c r="C44" s="69"/>
      <c r="D44" s="77" t="s">
        <v>142</v>
      </c>
      <c r="E44" s="81">
        <v>115</v>
      </c>
      <c r="F44" s="82" t="s">
        <v>93</v>
      </c>
      <c r="G44" s="83"/>
      <c r="H44" s="73">
        <f t="shared" si="3"/>
        <v>0</v>
      </c>
      <c r="I44" s="74"/>
      <c r="J44" s="75"/>
    </row>
    <row r="45" spans="1:10" outlineLevel="2" x14ac:dyDescent="0.25">
      <c r="A45" s="67" t="s">
        <v>26</v>
      </c>
      <c r="B45" s="85">
        <v>8</v>
      </c>
      <c r="C45" s="69"/>
      <c r="D45" s="77" t="s">
        <v>180</v>
      </c>
      <c r="E45" s="81">
        <v>115</v>
      </c>
      <c r="F45" s="82" t="s">
        <v>79</v>
      </c>
      <c r="G45" s="83"/>
      <c r="H45" s="73">
        <f t="shared" ref="H45" si="4">E45*G45</f>
        <v>0</v>
      </c>
      <c r="I45" s="74"/>
      <c r="J45" s="75"/>
    </row>
    <row r="46" spans="1:10" outlineLevel="2" x14ac:dyDescent="0.25">
      <c r="A46" s="67" t="s">
        <v>26</v>
      </c>
      <c r="B46" s="85">
        <v>9</v>
      </c>
      <c r="C46" s="69"/>
      <c r="D46" s="100" t="s">
        <v>184</v>
      </c>
      <c r="E46" s="71">
        <v>116</v>
      </c>
      <c r="F46" s="78" t="s">
        <v>93</v>
      </c>
      <c r="G46" s="83"/>
      <c r="H46" s="73">
        <f t="shared" si="3"/>
        <v>0</v>
      </c>
      <c r="I46" s="74"/>
      <c r="J46" s="75"/>
    </row>
    <row r="47" spans="1:10" outlineLevel="2" x14ac:dyDescent="0.25">
      <c r="A47" s="67" t="s">
        <v>26</v>
      </c>
      <c r="B47" s="85">
        <v>10</v>
      </c>
      <c r="C47" s="69"/>
      <c r="D47" s="80" t="s">
        <v>30</v>
      </c>
      <c r="E47" s="81"/>
      <c r="F47" s="82"/>
      <c r="G47" s="89"/>
      <c r="H47" s="89"/>
      <c r="I47" s="89"/>
      <c r="J47" s="89"/>
    </row>
    <row r="48" spans="1:10" outlineLevel="2" x14ac:dyDescent="0.25">
      <c r="A48" s="67" t="s">
        <v>26</v>
      </c>
      <c r="B48" s="85">
        <v>11</v>
      </c>
      <c r="C48" s="69"/>
      <c r="D48" s="87" t="s">
        <v>185</v>
      </c>
      <c r="E48" s="81">
        <v>12</v>
      </c>
      <c r="F48" s="78" t="s">
        <v>126</v>
      </c>
      <c r="G48" s="83"/>
      <c r="H48" s="73">
        <f t="shared" ref="H48" si="5">E48*G48</f>
        <v>0</v>
      </c>
      <c r="I48" s="74"/>
      <c r="J48" s="75"/>
    </row>
    <row r="49" spans="1:10" outlineLevel="2" x14ac:dyDescent="0.25">
      <c r="A49" s="67" t="s">
        <v>26</v>
      </c>
      <c r="B49" s="85">
        <v>16</v>
      </c>
      <c r="C49" s="69"/>
      <c r="D49" s="80" t="s">
        <v>31</v>
      </c>
      <c r="E49" s="81"/>
      <c r="F49" s="78"/>
      <c r="G49" s="83"/>
      <c r="H49" s="83"/>
      <c r="I49" s="83"/>
      <c r="J49" s="83"/>
    </row>
    <row r="50" spans="1:10" outlineLevel="2" x14ac:dyDescent="0.25">
      <c r="A50" s="67" t="s">
        <v>26</v>
      </c>
      <c r="B50" s="85">
        <v>17</v>
      </c>
      <c r="C50" s="69"/>
      <c r="D50" s="76" t="s">
        <v>176</v>
      </c>
      <c r="E50" s="88">
        <v>284</v>
      </c>
      <c r="F50" s="78" t="s">
        <v>151</v>
      </c>
      <c r="G50" s="83"/>
      <c r="H50" s="73">
        <f t="shared" ref="H50" si="6">E50*G50</f>
        <v>0</v>
      </c>
      <c r="I50" s="74"/>
      <c r="J50" s="75"/>
    </row>
    <row r="51" spans="1:10" ht="15.75" outlineLevel="1" thickBot="1" x14ac:dyDescent="0.3">
      <c r="A51" s="55"/>
      <c r="B51" s="56" t="s">
        <v>17</v>
      </c>
      <c r="C51" s="57"/>
      <c r="D51" s="57"/>
      <c r="E51" s="58"/>
      <c r="F51" s="59"/>
      <c r="G51" s="60"/>
      <c r="H51" s="61"/>
      <c r="I51" s="62">
        <f>SUM(H37:H51)</f>
        <v>0</v>
      </c>
      <c r="J51" s="63"/>
    </row>
    <row r="52" spans="1:10" ht="15.75" outlineLevel="1" thickTop="1" x14ac:dyDescent="0.25">
      <c r="A52" s="22"/>
      <c r="C52" s="23"/>
      <c r="D52" s="23"/>
      <c r="H52" s="65"/>
      <c r="I52" s="27"/>
      <c r="J52" s="66"/>
    </row>
    <row r="53" spans="1:10" x14ac:dyDescent="0.25">
      <c r="A53" s="36"/>
      <c r="B53" s="37" t="s">
        <v>32</v>
      </c>
      <c r="C53" s="38"/>
      <c r="D53" s="38"/>
      <c r="E53" s="39"/>
      <c r="F53" s="40"/>
      <c r="G53" s="41"/>
      <c r="H53" s="42"/>
      <c r="I53" s="43"/>
      <c r="J53" s="44"/>
    </row>
    <row r="54" spans="1:10" outlineLevel="1" x14ac:dyDescent="0.25">
      <c r="A54" s="45"/>
      <c r="B54" s="46" t="s">
        <v>33</v>
      </c>
      <c r="C54" s="47"/>
      <c r="D54" s="48" t="s">
        <v>34</v>
      </c>
      <c r="E54" s="49"/>
      <c r="F54" s="50"/>
      <c r="G54" s="51"/>
      <c r="H54" s="52"/>
      <c r="I54" s="53"/>
      <c r="J54" s="54"/>
    </row>
    <row r="55" spans="1:10" ht="30" outlineLevel="2" x14ac:dyDescent="0.25">
      <c r="A55" s="67" t="s">
        <v>35</v>
      </c>
      <c r="B55" s="101">
        <v>1</v>
      </c>
      <c r="C55" s="69"/>
      <c r="D55" s="90" t="s">
        <v>103</v>
      </c>
      <c r="E55" s="81">
        <v>96160</v>
      </c>
      <c r="F55" s="78" t="s">
        <v>78</v>
      </c>
      <c r="G55" s="103"/>
      <c r="H55" s="73">
        <f t="shared" ref="H55:H59" si="7">E55*G55</f>
        <v>0</v>
      </c>
      <c r="I55" s="74"/>
      <c r="J55" s="75"/>
    </row>
    <row r="56" spans="1:10" outlineLevel="2" x14ac:dyDescent="0.25">
      <c r="A56" s="67" t="s">
        <v>35</v>
      </c>
      <c r="B56" s="101">
        <v>2</v>
      </c>
      <c r="C56" s="69"/>
      <c r="D56" s="90" t="s">
        <v>98</v>
      </c>
      <c r="E56" s="81">
        <v>225</v>
      </c>
      <c r="F56" s="78" t="s">
        <v>99</v>
      </c>
      <c r="G56" s="83"/>
      <c r="H56" s="73">
        <f t="shared" ref="H56:H58" si="8">E56*G56</f>
        <v>0</v>
      </c>
      <c r="I56" s="74"/>
      <c r="J56" s="75"/>
    </row>
    <row r="57" spans="1:10" outlineLevel="2" x14ac:dyDescent="0.25">
      <c r="A57" s="67" t="s">
        <v>35</v>
      </c>
      <c r="B57" s="101">
        <v>3</v>
      </c>
      <c r="C57" s="69"/>
      <c r="D57" s="90" t="s">
        <v>100</v>
      </c>
      <c r="E57" s="81">
        <v>14</v>
      </c>
      <c r="F57" s="78" t="s">
        <v>99</v>
      </c>
      <c r="G57" s="83"/>
      <c r="H57" s="73">
        <f t="shared" ref="H57" si="9">E57*G57</f>
        <v>0</v>
      </c>
      <c r="I57" s="74"/>
      <c r="J57" s="75"/>
    </row>
    <row r="58" spans="1:10" outlineLevel="2" x14ac:dyDescent="0.25">
      <c r="A58" s="67" t="s">
        <v>35</v>
      </c>
      <c r="B58" s="101">
        <v>4</v>
      </c>
      <c r="C58" s="69"/>
      <c r="D58" s="90" t="s">
        <v>186</v>
      </c>
      <c r="E58" s="81">
        <v>384</v>
      </c>
      <c r="F58" s="78" t="s">
        <v>95</v>
      </c>
      <c r="G58" s="103"/>
      <c r="H58" s="73">
        <f t="shared" si="8"/>
        <v>0</v>
      </c>
      <c r="I58" s="74"/>
      <c r="J58" s="75"/>
    </row>
    <row r="59" spans="1:10" outlineLevel="2" x14ac:dyDescent="0.25">
      <c r="A59" s="67" t="s">
        <v>35</v>
      </c>
      <c r="B59" s="101">
        <v>5</v>
      </c>
      <c r="C59" s="69"/>
      <c r="D59" s="90" t="s">
        <v>102</v>
      </c>
      <c r="E59" s="81">
        <v>2064</v>
      </c>
      <c r="F59" s="78" t="s">
        <v>95</v>
      </c>
      <c r="G59" s="103"/>
      <c r="H59" s="73">
        <f t="shared" si="7"/>
        <v>0</v>
      </c>
      <c r="I59" s="74"/>
      <c r="J59" s="75"/>
    </row>
    <row r="60" spans="1:10" ht="15.75" outlineLevel="1" thickBot="1" x14ac:dyDescent="0.3">
      <c r="A60" s="55"/>
      <c r="B60" s="56" t="s">
        <v>17</v>
      </c>
      <c r="C60" s="57"/>
      <c r="D60" s="57"/>
      <c r="E60" s="58"/>
      <c r="F60" s="59"/>
      <c r="G60" s="60"/>
      <c r="H60" s="61"/>
      <c r="I60" s="62">
        <f>SUM(H54:H60)</f>
        <v>0</v>
      </c>
      <c r="J60" s="63"/>
    </row>
    <row r="61" spans="1:10" ht="15.75" outlineLevel="1" thickTop="1" x14ac:dyDescent="0.25">
      <c r="B61" s="92"/>
      <c r="J61" s="94"/>
    </row>
    <row r="62" spans="1:10" outlineLevel="1" x14ac:dyDescent="0.25">
      <c r="A62" s="45"/>
      <c r="B62" s="46" t="s">
        <v>36</v>
      </c>
      <c r="C62" s="47"/>
      <c r="D62" s="48" t="s">
        <v>90</v>
      </c>
      <c r="E62" s="49"/>
      <c r="F62" s="50"/>
      <c r="G62" s="51"/>
      <c r="H62" s="52"/>
      <c r="I62" s="53"/>
      <c r="J62" s="54"/>
    </row>
    <row r="63" spans="1:10" outlineLevel="2" x14ac:dyDescent="0.25">
      <c r="A63" s="67" t="s">
        <v>91</v>
      </c>
      <c r="B63" s="85">
        <v>1</v>
      </c>
      <c r="C63" s="69" t="s">
        <v>125</v>
      </c>
      <c r="D63" s="90" t="s">
        <v>187</v>
      </c>
      <c r="E63" s="81">
        <v>14263</v>
      </c>
      <c r="F63" s="78" t="s">
        <v>78</v>
      </c>
      <c r="G63" s="83"/>
      <c r="H63" s="73">
        <f t="shared" ref="H63" si="10">E63*G63</f>
        <v>0</v>
      </c>
      <c r="I63" s="74"/>
      <c r="J63" s="75"/>
    </row>
    <row r="64" spans="1:10" ht="15.75" outlineLevel="1" thickBot="1" x14ac:dyDescent="0.3">
      <c r="A64" s="55"/>
      <c r="B64" s="56" t="s">
        <v>17</v>
      </c>
      <c r="C64" s="57"/>
      <c r="D64" s="57"/>
      <c r="E64" s="58"/>
      <c r="F64" s="59"/>
      <c r="G64" s="60"/>
      <c r="H64" s="61"/>
      <c r="I64" s="62">
        <f>SUM(H62:H64)</f>
        <v>0</v>
      </c>
      <c r="J64" s="63"/>
    </row>
    <row r="65" spans="1:10" ht="15.75" outlineLevel="1" thickTop="1" x14ac:dyDescent="0.25">
      <c r="B65" s="92"/>
      <c r="J65" s="94"/>
    </row>
    <row r="66" spans="1:10" outlineLevel="1" x14ac:dyDescent="0.25">
      <c r="A66" s="45"/>
      <c r="B66" s="46" t="s">
        <v>146</v>
      </c>
      <c r="C66" s="47"/>
      <c r="D66" s="48" t="s">
        <v>37</v>
      </c>
      <c r="E66" s="49"/>
      <c r="F66" s="50"/>
      <c r="G66" s="51"/>
      <c r="H66" s="52"/>
      <c r="I66" s="53"/>
      <c r="J66" s="54"/>
    </row>
    <row r="67" spans="1:10" outlineLevel="2" x14ac:dyDescent="0.25">
      <c r="A67" s="67" t="s">
        <v>26</v>
      </c>
      <c r="B67" s="85">
        <v>1</v>
      </c>
      <c r="C67" s="69"/>
      <c r="D67" s="90" t="s">
        <v>153</v>
      </c>
      <c r="E67" s="81">
        <v>12</v>
      </c>
      <c r="F67" s="78" t="s">
        <v>126</v>
      </c>
      <c r="G67" s="83"/>
      <c r="H67" s="73">
        <f t="shared" ref="H67" si="11">E67*G67</f>
        <v>0</v>
      </c>
      <c r="I67" s="74"/>
      <c r="J67" s="75"/>
    </row>
    <row r="68" spans="1:10" ht="30" outlineLevel="2" x14ac:dyDescent="0.25">
      <c r="A68" s="67" t="s">
        <v>26</v>
      </c>
      <c r="B68" s="85">
        <v>2</v>
      </c>
      <c r="C68" s="69"/>
      <c r="D68" s="90" t="s">
        <v>188</v>
      </c>
      <c r="E68" s="81">
        <v>12</v>
      </c>
      <c r="F68" s="78" t="s">
        <v>110</v>
      </c>
      <c r="G68" s="83"/>
      <c r="H68" s="73">
        <f t="shared" ref="H68" si="12">E68*G68</f>
        <v>0</v>
      </c>
      <c r="I68" s="74"/>
      <c r="J68" s="75"/>
    </row>
    <row r="69" spans="1:10" outlineLevel="2" x14ac:dyDescent="0.25">
      <c r="A69" s="67" t="s">
        <v>26</v>
      </c>
      <c r="B69" s="85">
        <v>3</v>
      </c>
      <c r="C69" s="69"/>
      <c r="D69" s="90" t="s">
        <v>189</v>
      </c>
      <c r="E69" s="81">
        <v>104</v>
      </c>
      <c r="F69" s="78" t="s">
        <v>110</v>
      </c>
      <c r="G69" s="83"/>
      <c r="H69" s="73"/>
      <c r="I69" s="74"/>
      <c r="J69" s="75"/>
    </row>
    <row r="70" spans="1:10" ht="15.75" outlineLevel="1" thickBot="1" x14ac:dyDescent="0.3">
      <c r="A70" s="55"/>
      <c r="B70" s="56" t="s">
        <v>17</v>
      </c>
      <c r="C70" s="57"/>
      <c r="D70" s="57"/>
      <c r="E70" s="58"/>
      <c r="F70" s="59"/>
      <c r="G70" s="60"/>
      <c r="H70" s="61"/>
      <c r="I70" s="62">
        <f>SUM(H66:H70)</f>
        <v>0</v>
      </c>
      <c r="J70" s="63"/>
    </row>
    <row r="71" spans="1:10" ht="15.75" outlineLevel="1" thickTop="1" x14ac:dyDescent="0.25">
      <c r="B71" s="92"/>
      <c r="J71" s="94"/>
    </row>
    <row r="72" spans="1:10" outlineLevel="1" x14ac:dyDescent="0.25">
      <c r="A72" s="45"/>
      <c r="B72" s="46" t="s">
        <v>155</v>
      </c>
      <c r="C72" s="47"/>
      <c r="D72" s="48" t="s">
        <v>154</v>
      </c>
      <c r="E72" s="49"/>
      <c r="F72" s="50"/>
      <c r="G72" s="51"/>
      <c r="H72" s="52"/>
      <c r="I72" s="53"/>
      <c r="J72" s="54"/>
    </row>
    <row r="73" spans="1:10" ht="30" outlineLevel="2" x14ac:dyDescent="0.25">
      <c r="A73" s="67" t="s">
        <v>26</v>
      </c>
      <c r="B73" s="85">
        <v>1</v>
      </c>
      <c r="C73" s="69"/>
      <c r="D73" s="90" t="s">
        <v>192</v>
      </c>
      <c r="E73" s="81">
        <v>12</v>
      </c>
      <c r="F73" s="78" t="s">
        <v>126</v>
      </c>
      <c r="G73" s="83">
        <v>105</v>
      </c>
      <c r="H73" s="73">
        <f t="shared" ref="H73:H74" si="13">E73*G73</f>
        <v>1260</v>
      </c>
      <c r="I73" s="74"/>
      <c r="J73" s="75"/>
    </row>
    <row r="74" spans="1:10" outlineLevel="2" x14ac:dyDescent="0.25">
      <c r="A74" s="67" t="s">
        <v>26</v>
      </c>
      <c r="B74" s="85">
        <v>2</v>
      </c>
      <c r="C74" s="69"/>
      <c r="D74" s="90" t="s">
        <v>193</v>
      </c>
      <c r="E74" s="81">
        <v>1</v>
      </c>
      <c r="F74" s="78" t="s">
        <v>93</v>
      </c>
      <c r="G74" s="83">
        <v>175</v>
      </c>
      <c r="H74" s="73">
        <f t="shared" si="13"/>
        <v>175</v>
      </c>
      <c r="I74" s="74"/>
      <c r="J74" s="75"/>
    </row>
    <row r="75" spans="1:10" ht="15.75" outlineLevel="1" thickBot="1" x14ac:dyDescent="0.3">
      <c r="A75" s="55"/>
      <c r="B75" s="56" t="s">
        <v>17</v>
      </c>
      <c r="C75" s="57"/>
      <c r="D75" s="57"/>
      <c r="E75" s="58"/>
      <c r="F75" s="59"/>
      <c r="G75" s="60"/>
      <c r="H75" s="61"/>
      <c r="I75" s="62">
        <f>SUM(H72:H75)</f>
        <v>1435</v>
      </c>
      <c r="J75" s="63"/>
    </row>
    <row r="76" spans="1:10" ht="15.75" outlineLevel="1" thickTop="1" x14ac:dyDescent="0.25">
      <c r="B76" s="92"/>
      <c r="J76" s="94"/>
    </row>
    <row r="77" spans="1:10" x14ac:dyDescent="0.25">
      <c r="A77" s="36"/>
      <c r="B77" s="37" t="s">
        <v>38</v>
      </c>
      <c r="C77" s="38"/>
      <c r="D77" s="38"/>
      <c r="E77" s="39"/>
      <c r="F77" s="40"/>
      <c r="G77" s="41"/>
      <c r="H77" s="42"/>
      <c r="I77" s="43"/>
      <c r="J77" s="44"/>
    </row>
    <row r="78" spans="1:10" outlineLevel="1" x14ac:dyDescent="0.25">
      <c r="A78" s="45"/>
      <c r="B78" s="46" t="s">
        <v>39</v>
      </c>
      <c r="C78" s="47"/>
      <c r="D78" s="48" t="s">
        <v>40</v>
      </c>
      <c r="E78" s="49"/>
      <c r="F78" s="50"/>
      <c r="G78" s="51"/>
      <c r="H78" s="52"/>
      <c r="I78" s="53"/>
      <c r="J78" s="54"/>
    </row>
    <row r="79" spans="1:10" outlineLevel="2" x14ac:dyDescent="0.25">
      <c r="A79" s="67" t="s">
        <v>26</v>
      </c>
      <c r="B79" s="79">
        <v>1</v>
      </c>
      <c r="C79" s="69"/>
      <c r="D79" s="80" t="s">
        <v>41</v>
      </c>
      <c r="E79" s="88"/>
      <c r="F79" s="78"/>
      <c r="G79" s="95"/>
      <c r="H79" s="95"/>
      <c r="I79" s="95"/>
      <c r="J79" s="95"/>
    </row>
    <row r="80" spans="1:10" outlineLevel="2" x14ac:dyDescent="0.25">
      <c r="A80" s="67" t="s">
        <v>26</v>
      </c>
      <c r="B80" s="79">
        <v>2</v>
      </c>
      <c r="C80" s="69"/>
      <c r="D80" s="77" t="s">
        <v>152</v>
      </c>
      <c r="E80" s="81">
        <v>115</v>
      </c>
      <c r="F80" s="78" t="s">
        <v>122</v>
      </c>
      <c r="G80" s="83"/>
      <c r="H80" s="73">
        <f t="shared" ref="H80:H81" si="14">E80*G80</f>
        <v>0</v>
      </c>
      <c r="I80" s="74"/>
      <c r="J80" s="75"/>
    </row>
    <row r="81" spans="1:10" outlineLevel="2" x14ac:dyDescent="0.25">
      <c r="A81" s="67" t="s">
        <v>26</v>
      </c>
      <c r="B81" s="79">
        <v>3</v>
      </c>
      <c r="C81" s="69"/>
      <c r="D81" s="77" t="s">
        <v>190</v>
      </c>
      <c r="E81" s="81">
        <v>115</v>
      </c>
      <c r="F81" s="78" t="s">
        <v>122</v>
      </c>
      <c r="G81" s="83"/>
      <c r="H81" s="73">
        <f t="shared" si="14"/>
        <v>0</v>
      </c>
      <c r="I81" s="74"/>
      <c r="J81" s="75"/>
    </row>
    <row r="82" spans="1:10" outlineLevel="2" x14ac:dyDescent="0.25">
      <c r="A82" s="67" t="s">
        <v>26</v>
      </c>
      <c r="B82" s="79">
        <v>4</v>
      </c>
      <c r="C82" s="69"/>
      <c r="D82" s="80" t="s">
        <v>42</v>
      </c>
      <c r="E82" s="81"/>
      <c r="F82" s="78"/>
      <c r="G82" s="95"/>
      <c r="H82" s="95"/>
      <c r="I82" s="95"/>
      <c r="J82" s="95"/>
    </row>
    <row r="83" spans="1:10" outlineLevel="2" x14ac:dyDescent="0.25">
      <c r="A83" s="67" t="s">
        <v>26</v>
      </c>
      <c r="B83" s="79">
        <v>5</v>
      </c>
      <c r="C83" s="69"/>
      <c r="D83" s="77" t="s">
        <v>97</v>
      </c>
      <c r="E83" s="81">
        <v>14</v>
      </c>
      <c r="F83" s="78" t="s">
        <v>122</v>
      </c>
      <c r="G83" s="83"/>
      <c r="H83" s="73">
        <f t="shared" ref="H83:H84" si="15">E83*G83</f>
        <v>0</v>
      </c>
      <c r="I83" s="74"/>
      <c r="J83" s="75"/>
    </row>
    <row r="84" spans="1:10" outlineLevel="2" x14ac:dyDescent="0.25">
      <c r="A84" s="67" t="s">
        <v>26</v>
      </c>
      <c r="B84" s="79">
        <v>6</v>
      </c>
      <c r="C84" s="69"/>
      <c r="D84" s="77" t="s">
        <v>191</v>
      </c>
      <c r="E84" s="81">
        <v>14</v>
      </c>
      <c r="F84" s="78" t="s">
        <v>122</v>
      </c>
      <c r="G84" s="83"/>
      <c r="H84" s="73">
        <f t="shared" si="15"/>
        <v>0</v>
      </c>
      <c r="I84" s="74"/>
      <c r="J84" s="75"/>
    </row>
    <row r="85" spans="1:10" ht="15.75" outlineLevel="1" thickBot="1" x14ac:dyDescent="0.3">
      <c r="A85" s="55"/>
      <c r="B85" s="56" t="s">
        <v>17</v>
      </c>
      <c r="C85" s="57"/>
      <c r="D85" s="57"/>
      <c r="E85" s="58"/>
      <c r="F85" s="59"/>
      <c r="G85" s="60"/>
      <c r="H85" s="61"/>
      <c r="I85" s="62">
        <f>SUM(H78:H85)</f>
        <v>0</v>
      </c>
      <c r="J85" s="63"/>
    </row>
    <row r="86" spans="1:10" ht="15.75" outlineLevel="1" thickTop="1" x14ac:dyDescent="0.25">
      <c r="B86" s="92"/>
      <c r="J86" s="94"/>
    </row>
    <row r="87" spans="1:10" outlineLevel="1" x14ac:dyDescent="0.25">
      <c r="A87" s="45"/>
      <c r="B87" s="46" t="s">
        <v>43</v>
      </c>
      <c r="C87" s="47"/>
      <c r="D87" s="48" t="s">
        <v>88</v>
      </c>
      <c r="E87" s="49"/>
      <c r="F87" s="50"/>
      <c r="G87" s="51"/>
      <c r="H87" s="52"/>
      <c r="I87" s="53"/>
      <c r="J87" s="54"/>
    </row>
    <row r="88" spans="1:10" ht="45" outlineLevel="2" x14ac:dyDescent="0.25">
      <c r="A88" s="67" t="s">
        <v>45</v>
      </c>
      <c r="B88" s="101">
        <v>1</v>
      </c>
      <c r="C88" s="69"/>
      <c r="D88" s="77" t="s">
        <v>84</v>
      </c>
      <c r="E88" s="81">
        <v>115</v>
      </c>
      <c r="F88" s="78" t="s">
        <v>151</v>
      </c>
      <c r="G88" s="83"/>
      <c r="H88" s="73">
        <f t="shared" ref="H88:H89" si="16">E88*G88</f>
        <v>0</v>
      </c>
      <c r="I88" s="74"/>
      <c r="J88" s="75"/>
    </row>
    <row r="89" spans="1:10" ht="45" outlineLevel="2" x14ac:dyDescent="0.25">
      <c r="A89" s="67" t="s">
        <v>45</v>
      </c>
      <c r="B89" s="101">
        <v>2</v>
      </c>
      <c r="C89" s="69"/>
      <c r="D89" s="77" t="s">
        <v>85</v>
      </c>
      <c r="E89" s="81">
        <v>144</v>
      </c>
      <c r="F89" s="78" t="s">
        <v>151</v>
      </c>
      <c r="G89" s="83"/>
      <c r="H89" s="73">
        <f t="shared" si="16"/>
        <v>0</v>
      </c>
      <c r="I89" s="74"/>
      <c r="J89" s="75"/>
    </row>
    <row r="90" spans="1:10" ht="15.75" outlineLevel="1" thickBot="1" x14ac:dyDescent="0.3">
      <c r="A90" s="55"/>
      <c r="B90" s="56" t="s">
        <v>17</v>
      </c>
      <c r="C90" s="57"/>
      <c r="D90" s="57"/>
      <c r="E90" s="58"/>
      <c r="F90" s="59"/>
      <c r="G90" s="60"/>
      <c r="H90" s="61"/>
      <c r="I90" s="62">
        <f>SUM(H87:H90)</f>
        <v>0</v>
      </c>
      <c r="J90" s="96"/>
    </row>
    <row r="91" spans="1:10" ht="15.75" outlineLevel="1" thickTop="1" x14ac:dyDescent="0.25">
      <c r="A91" s="22"/>
      <c r="C91" s="23"/>
      <c r="D91" s="23"/>
      <c r="H91" s="65"/>
      <c r="I91" s="27"/>
      <c r="J91" s="66"/>
    </row>
    <row r="92" spans="1:10" outlineLevel="1" x14ac:dyDescent="0.25">
      <c r="A92" s="45"/>
      <c r="B92" s="46" t="s">
        <v>44</v>
      </c>
      <c r="C92" s="47"/>
      <c r="D92" s="48" t="s">
        <v>89</v>
      </c>
      <c r="E92" s="49"/>
      <c r="F92" s="50"/>
      <c r="G92" s="51"/>
      <c r="H92" s="52"/>
      <c r="I92" s="53"/>
      <c r="J92" s="54"/>
    </row>
    <row r="93" spans="1:10" ht="45" outlineLevel="2" x14ac:dyDescent="0.25">
      <c r="A93" s="67" t="s">
        <v>45</v>
      </c>
      <c r="B93" s="101">
        <v>1</v>
      </c>
      <c r="C93" s="69"/>
      <c r="D93" s="77" t="s">
        <v>86</v>
      </c>
      <c r="E93" s="81">
        <v>25</v>
      </c>
      <c r="F93" s="78" t="s">
        <v>151</v>
      </c>
      <c r="G93" s="83"/>
      <c r="H93" s="73">
        <f t="shared" ref="H93" si="17">E93*G93</f>
        <v>0</v>
      </c>
      <c r="I93" s="74"/>
      <c r="J93" s="75"/>
    </row>
    <row r="94" spans="1:10" ht="15.75" outlineLevel="1" thickBot="1" x14ac:dyDescent="0.3">
      <c r="A94" s="55"/>
      <c r="B94" s="56" t="s">
        <v>17</v>
      </c>
      <c r="C94" s="57"/>
      <c r="D94" s="57"/>
      <c r="E94" s="58"/>
      <c r="F94" s="59"/>
      <c r="G94" s="60"/>
      <c r="H94" s="61"/>
      <c r="I94" s="62">
        <f>SUM(H92:H94)</f>
        <v>0</v>
      </c>
      <c r="J94" s="96"/>
    </row>
    <row r="95" spans="1:10" ht="15.75" outlineLevel="1" thickTop="1" x14ac:dyDescent="0.25">
      <c r="A95" s="22"/>
      <c r="C95" s="23"/>
      <c r="D95" s="23"/>
      <c r="H95" s="65"/>
      <c r="I95" s="27"/>
      <c r="J95" s="66"/>
    </row>
    <row r="96" spans="1:10" x14ac:dyDescent="0.25">
      <c r="A96" s="36"/>
      <c r="B96" s="37" t="s">
        <v>46</v>
      </c>
      <c r="C96" s="38"/>
      <c r="D96" s="38"/>
      <c r="E96" s="39"/>
      <c r="F96" s="40"/>
      <c r="G96" s="41"/>
      <c r="H96" s="42"/>
      <c r="I96" s="43"/>
      <c r="J96" s="44"/>
    </row>
    <row r="97" spans="1:10" outlineLevel="1" x14ac:dyDescent="0.25">
      <c r="A97" s="45"/>
      <c r="B97" s="46" t="s">
        <v>47</v>
      </c>
      <c r="C97" s="47"/>
      <c r="D97" s="48" t="s">
        <v>48</v>
      </c>
      <c r="E97" s="49"/>
      <c r="F97" s="50"/>
      <c r="G97" s="51"/>
      <c r="H97" s="52"/>
      <c r="I97" s="53"/>
      <c r="J97" s="54"/>
    </row>
    <row r="98" spans="1:10" outlineLevel="2" x14ac:dyDescent="0.25">
      <c r="A98" s="67" t="s">
        <v>26</v>
      </c>
      <c r="B98" s="85">
        <v>1</v>
      </c>
      <c r="C98" s="69"/>
      <c r="D98" s="70" t="s">
        <v>49</v>
      </c>
      <c r="E98" s="81"/>
      <c r="F98" s="97"/>
      <c r="G98" s="83"/>
      <c r="H98" s="83"/>
      <c r="I98" s="83"/>
      <c r="J98" s="83"/>
    </row>
    <row r="99" spans="1:10" outlineLevel="2" x14ac:dyDescent="0.25">
      <c r="A99" s="67" t="s">
        <v>26</v>
      </c>
      <c r="B99" s="85">
        <v>2</v>
      </c>
      <c r="C99" s="69"/>
      <c r="D99" s="76" t="s">
        <v>181</v>
      </c>
      <c r="E99" s="71">
        <v>12</v>
      </c>
      <c r="F99" s="78" t="s">
        <v>126</v>
      </c>
      <c r="G99" s="83"/>
      <c r="H99" s="73">
        <f t="shared" ref="H99" si="18">E99*G99</f>
        <v>0</v>
      </c>
      <c r="I99" s="74"/>
      <c r="J99" s="75"/>
    </row>
    <row r="100" spans="1:10" outlineLevel="2" x14ac:dyDescent="0.25">
      <c r="A100" s="67" t="s">
        <v>26</v>
      </c>
      <c r="B100" s="85">
        <v>3</v>
      </c>
      <c r="C100" s="69"/>
      <c r="D100" s="70" t="s">
        <v>50</v>
      </c>
      <c r="E100" s="81"/>
      <c r="F100" s="97"/>
      <c r="G100" s="83"/>
      <c r="H100" s="83"/>
      <c r="I100" s="83"/>
      <c r="J100" s="83"/>
    </row>
    <row r="101" spans="1:10" ht="30" outlineLevel="2" x14ac:dyDescent="0.25">
      <c r="A101" s="67" t="s">
        <v>26</v>
      </c>
      <c r="B101" s="85">
        <v>4</v>
      </c>
      <c r="C101" s="69" t="s">
        <v>125</v>
      </c>
      <c r="D101" s="76" t="s">
        <v>238</v>
      </c>
      <c r="E101" s="71">
        <v>1150</v>
      </c>
      <c r="F101" s="78" t="s">
        <v>78</v>
      </c>
      <c r="G101" s="83"/>
      <c r="H101" s="73">
        <f t="shared" ref="H101" si="19">E101*G101</f>
        <v>0</v>
      </c>
      <c r="I101" s="74"/>
      <c r="J101" s="75"/>
    </row>
    <row r="102" spans="1:10" outlineLevel="2" x14ac:dyDescent="0.25">
      <c r="A102" s="67" t="s">
        <v>26</v>
      </c>
      <c r="B102" s="85">
        <v>5</v>
      </c>
      <c r="C102" s="69"/>
      <c r="D102" s="70" t="s">
        <v>41</v>
      </c>
      <c r="E102" s="71"/>
      <c r="F102" s="97"/>
      <c r="G102" s="83"/>
      <c r="H102" s="83"/>
      <c r="I102" s="83"/>
      <c r="J102" s="83"/>
    </row>
    <row r="103" spans="1:10" ht="30" outlineLevel="2" x14ac:dyDescent="0.25">
      <c r="A103" s="67" t="s">
        <v>26</v>
      </c>
      <c r="B103" s="85">
        <v>6</v>
      </c>
      <c r="C103" s="69" t="s">
        <v>125</v>
      </c>
      <c r="D103" s="76" t="s">
        <v>194</v>
      </c>
      <c r="E103" s="71">
        <v>1150</v>
      </c>
      <c r="F103" s="78" t="s">
        <v>78</v>
      </c>
      <c r="G103" s="83"/>
      <c r="H103" s="73">
        <f t="shared" ref="H103:H104" si="20">E103*G103</f>
        <v>0</v>
      </c>
      <c r="I103" s="74"/>
      <c r="J103" s="75"/>
    </row>
    <row r="104" spans="1:10" outlineLevel="2" x14ac:dyDescent="0.25">
      <c r="A104" s="67" t="s">
        <v>26</v>
      </c>
      <c r="B104" s="85">
        <v>7</v>
      </c>
      <c r="C104" s="69"/>
      <c r="D104" s="76" t="s">
        <v>177</v>
      </c>
      <c r="E104" s="71">
        <f>5*284</f>
        <v>1420</v>
      </c>
      <c r="F104" s="78" t="s">
        <v>78</v>
      </c>
      <c r="G104" s="83"/>
      <c r="H104" s="73">
        <f t="shared" si="20"/>
        <v>0</v>
      </c>
      <c r="I104" s="74"/>
      <c r="J104" s="75"/>
    </row>
    <row r="105" spans="1:10" ht="15.75" outlineLevel="1" thickBot="1" x14ac:dyDescent="0.3">
      <c r="A105" s="55"/>
      <c r="B105" s="56" t="s">
        <v>17</v>
      </c>
      <c r="C105" s="57"/>
      <c r="D105" s="57"/>
      <c r="E105" s="58"/>
      <c r="F105" s="59"/>
      <c r="G105" s="60"/>
      <c r="H105" s="61"/>
      <c r="I105" s="62">
        <f>SUM(H97:H105)</f>
        <v>0</v>
      </c>
      <c r="J105" s="63"/>
    </row>
    <row r="106" spans="1:10" ht="15.75" outlineLevel="1" thickTop="1" x14ac:dyDescent="0.25">
      <c r="A106" s="22"/>
      <c r="B106" s="92"/>
      <c r="C106" s="23"/>
      <c r="D106" s="23"/>
      <c r="E106" s="64"/>
      <c r="F106" s="98"/>
      <c r="H106" s="65"/>
      <c r="I106" s="27"/>
      <c r="J106" s="66"/>
    </row>
    <row r="107" spans="1:10" outlineLevel="1" x14ac:dyDescent="0.25">
      <c r="A107" s="45"/>
      <c r="B107" s="46" t="s">
        <v>51</v>
      </c>
      <c r="C107" s="47"/>
      <c r="D107" s="48" t="s">
        <v>52</v>
      </c>
      <c r="E107" s="49"/>
      <c r="F107" s="50"/>
      <c r="G107" s="51"/>
      <c r="H107" s="52"/>
      <c r="I107" s="53"/>
      <c r="J107" s="54"/>
    </row>
    <row r="108" spans="1:10" outlineLevel="2" x14ac:dyDescent="0.25">
      <c r="A108" s="67" t="s">
        <v>26</v>
      </c>
      <c r="B108" s="85">
        <v>1</v>
      </c>
      <c r="C108" s="69"/>
      <c r="D108" s="80" t="s">
        <v>114</v>
      </c>
      <c r="E108" s="71"/>
      <c r="F108" s="78"/>
      <c r="G108" s="78"/>
      <c r="H108" s="78"/>
      <c r="I108" s="78"/>
      <c r="J108" s="78"/>
    </row>
    <row r="109" spans="1:10" ht="30" outlineLevel="2" x14ac:dyDescent="0.25">
      <c r="A109" s="67" t="s">
        <v>26</v>
      </c>
      <c r="B109" s="85">
        <v>2</v>
      </c>
      <c r="C109" s="69"/>
      <c r="D109" s="77" t="s">
        <v>195</v>
      </c>
      <c r="E109" s="71">
        <v>104</v>
      </c>
      <c r="F109" s="78" t="s">
        <v>110</v>
      </c>
      <c r="G109" s="83"/>
      <c r="H109" s="73"/>
      <c r="I109" s="74"/>
      <c r="J109" s="75"/>
    </row>
    <row r="110" spans="1:10" outlineLevel="2" x14ac:dyDescent="0.25">
      <c r="A110" s="67" t="s">
        <v>26</v>
      </c>
      <c r="B110" s="85">
        <v>3</v>
      </c>
      <c r="C110" s="69"/>
      <c r="D110" s="77" t="s">
        <v>197</v>
      </c>
      <c r="E110" s="71">
        <v>12</v>
      </c>
      <c r="F110" s="78" t="s">
        <v>126</v>
      </c>
      <c r="G110" s="83"/>
      <c r="H110" s="73">
        <f t="shared" ref="H110" si="21">E110*G110</f>
        <v>0</v>
      </c>
      <c r="I110" s="74"/>
      <c r="J110" s="75"/>
    </row>
    <row r="111" spans="1:10" outlineLevel="2" x14ac:dyDescent="0.25">
      <c r="A111" s="67" t="s">
        <v>26</v>
      </c>
      <c r="B111" s="85">
        <v>4</v>
      </c>
      <c r="C111" s="69"/>
      <c r="D111" s="80" t="s">
        <v>20</v>
      </c>
      <c r="E111" s="71"/>
      <c r="F111" s="78"/>
      <c r="G111" s="78"/>
      <c r="H111" s="78"/>
      <c r="I111" s="78"/>
      <c r="J111" s="78"/>
    </row>
    <row r="112" spans="1:10" ht="30" outlineLevel="2" x14ac:dyDescent="0.25">
      <c r="A112" s="67" t="s">
        <v>26</v>
      </c>
      <c r="B112" s="85">
        <v>5</v>
      </c>
      <c r="C112" s="69"/>
      <c r="D112" s="77" t="s">
        <v>196</v>
      </c>
      <c r="E112" s="71">
        <v>11</v>
      </c>
      <c r="F112" s="78" t="s">
        <v>110</v>
      </c>
      <c r="G112" s="83"/>
      <c r="H112" s="73">
        <f t="shared" ref="H112" si="22">E112*G112</f>
        <v>0</v>
      </c>
      <c r="I112" s="74"/>
      <c r="J112" s="75"/>
    </row>
    <row r="113" spans="1:10" outlineLevel="2" x14ac:dyDescent="0.25">
      <c r="A113" s="67" t="s">
        <v>26</v>
      </c>
      <c r="B113" s="85">
        <v>8</v>
      </c>
      <c r="C113" s="69"/>
      <c r="D113" s="80" t="s">
        <v>120</v>
      </c>
      <c r="E113" s="71"/>
      <c r="F113" s="78"/>
      <c r="G113" s="78"/>
      <c r="H113" s="78"/>
      <c r="I113" s="78"/>
      <c r="J113" s="78"/>
    </row>
    <row r="114" spans="1:10" outlineLevel="2" x14ac:dyDescent="0.25">
      <c r="A114" s="67" t="s">
        <v>26</v>
      </c>
      <c r="B114" s="85">
        <v>9</v>
      </c>
      <c r="C114" s="69"/>
      <c r="D114" s="76" t="s">
        <v>198</v>
      </c>
      <c r="E114" s="71">
        <v>1</v>
      </c>
      <c r="F114" s="78" t="s">
        <v>77</v>
      </c>
      <c r="G114" s="83"/>
      <c r="H114" s="73">
        <f t="shared" ref="H114:H115" si="23">E114*G114</f>
        <v>0</v>
      </c>
      <c r="I114" s="74"/>
      <c r="J114" s="75"/>
    </row>
    <row r="115" spans="1:10" ht="30" outlineLevel="2" x14ac:dyDescent="0.25">
      <c r="A115" s="67" t="s">
        <v>26</v>
      </c>
      <c r="B115" s="85">
        <v>10</v>
      </c>
      <c r="C115" s="69"/>
      <c r="D115" s="76" t="s">
        <v>215</v>
      </c>
      <c r="E115" s="71">
        <v>1</v>
      </c>
      <c r="F115" s="78" t="s">
        <v>77</v>
      </c>
      <c r="G115" s="83"/>
      <c r="H115" s="73">
        <f t="shared" si="23"/>
        <v>0</v>
      </c>
      <c r="I115" s="74"/>
      <c r="J115" s="75"/>
    </row>
    <row r="116" spans="1:10" ht="15.75" outlineLevel="1" thickBot="1" x14ac:dyDescent="0.3">
      <c r="A116" s="55"/>
      <c r="B116" s="56" t="s">
        <v>17</v>
      </c>
      <c r="C116" s="57"/>
      <c r="D116" s="57"/>
      <c r="E116" s="58"/>
      <c r="F116" s="59"/>
      <c r="G116" s="60"/>
      <c r="H116" s="61"/>
      <c r="I116" s="62">
        <f>SUM(H107:H116)</f>
        <v>0</v>
      </c>
      <c r="J116" s="63"/>
    </row>
    <row r="117" spans="1:10" ht="15.75" outlineLevel="1" thickTop="1" x14ac:dyDescent="0.25">
      <c r="A117" s="22"/>
      <c r="C117" s="23"/>
      <c r="D117" s="23"/>
      <c r="H117" s="65"/>
      <c r="I117" s="27"/>
      <c r="J117" s="66"/>
    </row>
    <row r="118" spans="1:10" outlineLevel="1" x14ac:dyDescent="0.25">
      <c r="A118" s="45"/>
      <c r="B118" s="46" t="s">
        <v>147</v>
      </c>
      <c r="C118" s="47"/>
      <c r="D118" s="48" t="s">
        <v>53</v>
      </c>
      <c r="E118" s="49"/>
      <c r="F118" s="50"/>
      <c r="G118" s="51"/>
      <c r="H118" s="52"/>
      <c r="I118" s="53"/>
      <c r="J118" s="54"/>
    </row>
    <row r="119" spans="1:10" outlineLevel="2" x14ac:dyDescent="0.25">
      <c r="A119" s="67" t="s">
        <v>26</v>
      </c>
      <c r="B119" s="85">
        <v>1</v>
      </c>
      <c r="C119" s="69" t="s">
        <v>77</v>
      </c>
      <c r="D119" s="76" t="s">
        <v>218</v>
      </c>
      <c r="E119" s="71">
        <v>1</v>
      </c>
      <c r="F119" s="78" t="s">
        <v>77</v>
      </c>
      <c r="G119" s="83"/>
      <c r="H119" s="73">
        <f t="shared" ref="H119" si="24">E119*G119</f>
        <v>0</v>
      </c>
      <c r="I119" s="74"/>
      <c r="J119" s="75"/>
    </row>
    <row r="120" spans="1:10" outlineLevel="2" x14ac:dyDescent="0.25">
      <c r="A120" s="67" t="s">
        <v>26</v>
      </c>
      <c r="B120" s="85">
        <v>2</v>
      </c>
      <c r="C120" s="69"/>
      <c r="D120" s="76" t="s">
        <v>199</v>
      </c>
      <c r="E120" s="71">
        <v>284</v>
      </c>
      <c r="F120" s="78" t="s">
        <v>151</v>
      </c>
      <c r="G120" s="83"/>
      <c r="H120" s="73">
        <f t="shared" ref="H120" si="25">E120*G120</f>
        <v>0</v>
      </c>
      <c r="I120" s="74"/>
      <c r="J120" s="75"/>
    </row>
    <row r="121" spans="1:10" ht="15.75" outlineLevel="1" thickBot="1" x14ac:dyDescent="0.3">
      <c r="A121" s="55"/>
      <c r="B121" s="56" t="s">
        <v>17</v>
      </c>
      <c r="C121" s="57"/>
      <c r="D121" s="57"/>
      <c r="E121" s="58"/>
      <c r="F121" s="59"/>
      <c r="G121" s="60"/>
      <c r="H121" s="61"/>
      <c r="I121" s="62">
        <f>SUM(H118:H121)</f>
        <v>0</v>
      </c>
      <c r="J121" s="84"/>
    </row>
    <row r="122" spans="1:10" ht="15.75" outlineLevel="1" thickTop="1" x14ac:dyDescent="0.25">
      <c r="A122" s="22"/>
      <c r="C122" s="23"/>
      <c r="D122" s="23"/>
      <c r="H122" s="65"/>
      <c r="I122" s="27"/>
      <c r="J122" s="66"/>
    </row>
    <row r="123" spans="1:10" x14ac:dyDescent="0.25">
      <c r="A123" s="36"/>
      <c r="B123" s="37" t="s">
        <v>54</v>
      </c>
      <c r="C123" s="38"/>
      <c r="D123" s="38"/>
      <c r="E123" s="39"/>
      <c r="F123" s="40"/>
      <c r="G123" s="41"/>
      <c r="H123" s="42"/>
      <c r="I123" s="43"/>
      <c r="J123" s="44"/>
    </row>
    <row r="124" spans="1:10" outlineLevel="1" x14ac:dyDescent="0.25">
      <c r="A124" s="45"/>
      <c r="B124" s="46" t="s">
        <v>55</v>
      </c>
      <c r="C124" s="47"/>
      <c r="D124" s="48" t="s">
        <v>56</v>
      </c>
      <c r="E124" s="49"/>
      <c r="F124" s="50"/>
      <c r="G124" s="51"/>
      <c r="H124" s="52"/>
      <c r="I124" s="53"/>
      <c r="J124" s="54"/>
    </row>
    <row r="125" spans="1:10" outlineLevel="2" x14ac:dyDescent="0.25">
      <c r="A125" s="67" t="s">
        <v>26</v>
      </c>
      <c r="B125" s="85">
        <v>1</v>
      </c>
      <c r="C125" s="69"/>
      <c r="D125" s="80" t="s">
        <v>128</v>
      </c>
      <c r="E125" s="71"/>
      <c r="F125" s="78"/>
      <c r="G125" s="78"/>
      <c r="H125" s="78"/>
      <c r="I125" s="78"/>
      <c r="J125" s="78"/>
    </row>
    <row r="126" spans="1:10" outlineLevel="2" x14ac:dyDescent="0.25">
      <c r="A126" s="67" t="s">
        <v>26</v>
      </c>
      <c r="B126" s="85">
        <v>2</v>
      </c>
      <c r="C126" s="69"/>
      <c r="D126" s="77" t="s">
        <v>200</v>
      </c>
      <c r="E126" s="71">
        <v>1</v>
      </c>
      <c r="F126" s="78" t="s">
        <v>141</v>
      </c>
      <c r="G126" s="83"/>
      <c r="H126" s="73">
        <f t="shared" ref="H126" si="26">E126*G126</f>
        <v>0</v>
      </c>
      <c r="I126" s="74"/>
      <c r="J126" s="75"/>
    </row>
    <row r="127" spans="1:10" outlineLevel="2" x14ac:dyDescent="0.25">
      <c r="A127" s="67" t="s">
        <v>26</v>
      </c>
      <c r="B127" s="85">
        <v>3</v>
      </c>
      <c r="C127" s="69"/>
      <c r="D127" s="77" t="s">
        <v>202</v>
      </c>
      <c r="E127" s="71">
        <v>4</v>
      </c>
      <c r="F127" s="78" t="s">
        <v>204</v>
      </c>
      <c r="G127" s="83"/>
      <c r="H127" s="73">
        <f t="shared" ref="H127:H129" si="27">E127*G127</f>
        <v>0</v>
      </c>
      <c r="I127" s="74"/>
      <c r="J127" s="75"/>
    </row>
    <row r="128" spans="1:10" outlineLevel="2" x14ac:dyDescent="0.25">
      <c r="A128" s="67" t="s">
        <v>26</v>
      </c>
      <c r="B128" s="85">
        <v>4</v>
      </c>
      <c r="C128" s="69"/>
      <c r="D128" s="77" t="s">
        <v>203</v>
      </c>
      <c r="E128" s="71">
        <v>3</v>
      </c>
      <c r="F128" s="78" t="s">
        <v>204</v>
      </c>
      <c r="G128" s="83"/>
      <c r="H128" s="73">
        <f t="shared" si="27"/>
        <v>0</v>
      </c>
      <c r="I128" s="74"/>
      <c r="J128" s="75"/>
    </row>
    <row r="129" spans="1:10" outlineLevel="2" x14ac:dyDescent="0.25">
      <c r="A129" s="67" t="s">
        <v>26</v>
      </c>
      <c r="B129" s="85">
        <v>5</v>
      </c>
      <c r="C129" s="69"/>
      <c r="D129" s="77" t="s">
        <v>205</v>
      </c>
      <c r="E129" s="71">
        <v>12</v>
      </c>
      <c r="F129" s="78" t="s">
        <v>204</v>
      </c>
      <c r="G129" s="83"/>
      <c r="H129" s="73">
        <f t="shared" si="27"/>
        <v>0</v>
      </c>
      <c r="I129" s="74"/>
      <c r="J129" s="75"/>
    </row>
    <row r="130" spans="1:10" outlineLevel="2" x14ac:dyDescent="0.25">
      <c r="A130" s="67" t="s">
        <v>26</v>
      </c>
      <c r="B130" s="85">
        <v>6</v>
      </c>
      <c r="C130" s="69"/>
      <c r="D130" s="77" t="s">
        <v>156</v>
      </c>
      <c r="E130" s="71">
        <v>12</v>
      </c>
      <c r="F130" s="78" t="s">
        <v>126</v>
      </c>
      <c r="G130" s="83"/>
      <c r="H130" s="73">
        <f t="shared" ref="H130" si="28">E130*G130</f>
        <v>0</v>
      </c>
      <c r="I130" s="74"/>
      <c r="J130" s="75"/>
    </row>
    <row r="131" spans="1:10" outlineLevel="2" x14ac:dyDescent="0.25">
      <c r="A131" s="67" t="s">
        <v>26</v>
      </c>
      <c r="B131" s="85">
        <v>7</v>
      </c>
      <c r="C131" s="69"/>
      <c r="D131" s="77" t="s">
        <v>206</v>
      </c>
      <c r="E131" s="71">
        <v>1</v>
      </c>
      <c r="F131" s="78" t="s">
        <v>79</v>
      </c>
      <c r="G131" s="83"/>
      <c r="H131" s="73">
        <f t="shared" ref="H131:H134" si="29">E131*G131</f>
        <v>0</v>
      </c>
      <c r="I131" s="74"/>
      <c r="J131" s="75"/>
    </row>
    <row r="132" spans="1:10" outlineLevel="2" x14ac:dyDescent="0.25">
      <c r="A132" s="67" t="s">
        <v>26</v>
      </c>
      <c r="B132" s="85">
        <v>8</v>
      </c>
      <c r="C132" s="69"/>
      <c r="D132" s="80" t="s">
        <v>127</v>
      </c>
      <c r="E132" s="71"/>
      <c r="F132" s="78"/>
      <c r="G132" s="78"/>
      <c r="H132" s="78"/>
      <c r="I132" s="78"/>
      <c r="J132" s="78"/>
    </row>
    <row r="133" spans="1:10" outlineLevel="2" x14ac:dyDescent="0.25">
      <c r="A133" s="67" t="s">
        <v>26</v>
      </c>
      <c r="B133" s="85">
        <v>9</v>
      </c>
      <c r="C133" s="69"/>
      <c r="D133" s="77" t="s">
        <v>207</v>
      </c>
      <c r="E133" s="71">
        <v>2</v>
      </c>
      <c r="F133" s="78" t="s">
        <v>79</v>
      </c>
      <c r="G133" s="83"/>
      <c r="H133" s="73">
        <f t="shared" si="29"/>
        <v>0</v>
      </c>
      <c r="I133" s="74"/>
      <c r="J133" s="75"/>
    </row>
    <row r="134" spans="1:10" outlineLevel="2" x14ac:dyDescent="0.25">
      <c r="A134" s="67" t="s">
        <v>26</v>
      </c>
      <c r="B134" s="85">
        <v>10</v>
      </c>
      <c r="C134" s="69"/>
      <c r="D134" s="77" t="s">
        <v>201</v>
      </c>
      <c r="E134" s="71">
        <v>2</v>
      </c>
      <c r="F134" s="78" t="s">
        <v>79</v>
      </c>
      <c r="G134" s="83"/>
      <c r="H134" s="73">
        <f t="shared" si="29"/>
        <v>0</v>
      </c>
      <c r="I134" s="74"/>
      <c r="J134" s="75"/>
    </row>
    <row r="135" spans="1:10" ht="15.75" outlineLevel="1" thickBot="1" x14ac:dyDescent="0.3">
      <c r="A135" s="55"/>
      <c r="B135" s="56" t="s">
        <v>17</v>
      </c>
      <c r="C135" s="57"/>
      <c r="D135" s="57"/>
      <c r="E135" s="58"/>
      <c r="F135" s="59"/>
      <c r="G135" s="60"/>
      <c r="H135" s="61"/>
      <c r="I135" s="62">
        <f>SUM(H124:H135)</f>
        <v>0</v>
      </c>
      <c r="J135" s="63"/>
    </row>
    <row r="136" spans="1:10" ht="15.75" outlineLevel="1" thickTop="1" x14ac:dyDescent="0.25">
      <c r="A136" s="22"/>
      <c r="C136" s="23"/>
      <c r="D136" s="23"/>
      <c r="H136" s="65"/>
      <c r="I136" s="27"/>
      <c r="J136" s="66"/>
    </row>
    <row r="137" spans="1:10" x14ac:dyDescent="0.25">
      <c r="A137" s="36"/>
      <c r="B137" s="37" t="s">
        <v>57</v>
      </c>
      <c r="C137" s="38"/>
      <c r="D137" s="38"/>
      <c r="E137" s="39"/>
      <c r="F137" s="40"/>
      <c r="G137" s="41"/>
      <c r="H137" s="42"/>
      <c r="I137" s="43"/>
      <c r="J137" s="44"/>
    </row>
    <row r="138" spans="1:10" outlineLevel="1" x14ac:dyDescent="0.25">
      <c r="A138" s="45"/>
      <c r="B138" s="46" t="s">
        <v>58</v>
      </c>
      <c r="C138" s="47"/>
      <c r="D138" s="48" t="s">
        <v>104</v>
      </c>
      <c r="E138" s="49"/>
      <c r="F138" s="50"/>
      <c r="G138" s="51"/>
      <c r="H138" s="52"/>
      <c r="I138" s="53"/>
      <c r="J138" s="54"/>
    </row>
    <row r="139" spans="1:10" outlineLevel="2" x14ac:dyDescent="0.25">
      <c r="A139" s="67" t="s">
        <v>26</v>
      </c>
      <c r="B139" s="85">
        <v>1</v>
      </c>
      <c r="C139" s="69"/>
      <c r="D139" s="80" t="s">
        <v>114</v>
      </c>
      <c r="E139" s="71"/>
      <c r="F139" s="78"/>
      <c r="G139" s="78"/>
      <c r="H139" s="78"/>
      <c r="I139" s="78"/>
      <c r="J139" s="78"/>
    </row>
    <row r="140" spans="1:10" outlineLevel="2" x14ac:dyDescent="0.25">
      <c r="A140" s="67" t="s">
        <v>26</v>
      </c>
      <c r="B140" s="85">
        <v>2</v>
      </c>
      <c r="C140" s="69"/>
      <c r="D140" s="77" t="s">
        <v>112</v>
      </c>
      <c r="E140" s="71">
        <v>104</v>
      </c>
      <c r="F140" s="78" t="s">
        <v>110</v>
      </c>
      <c r="G140" s="83"/>
      <c r="H140" s="73"/>
      <c r="I140" s="74"/>
      <c r="J140" s="75"/>
    </row>
    <row r="141" spans="1:10" outlineLevel="2" x14ac:dyDescent="0.25">
      <c r="A141" s="67" t="s">
        <v>26</v>
      </c>
      <c r="B141" s="85">
        <v>3</v>
      </c>
      <c r="C141" s="69"/>
      <c r="D141" s="77" t="s">
        <v>116</v>
      </c>
      <c r="E141" s="71">
        <v>104</v>
      </c>
      <c r="F141" s="78" t="s">
        <v>110</v>
      </c>
      <c r="G141" s="83"/>
      <c r="H141" s="73"/>
      <c r="I141" s="74"/>
      <c r="J141" s="75"/>
    </row>
    <row r="142" spans="1:10" outlineLevel="2" x14ac:dyDescent="0.25">
      <c r="A142" s="67" t="s">
        <v>26</v>
      </c>
      <c r="B142" s="85">
        <v>4</v>
      </c>
      <c r="C142" s="69"/>
      <c r="D142" s="77" t="s">
        <v>115</v>
      </c>
      <c r="E142" s="71">
        <v>104</v>
      </c>
      <c r="F142" s="78" t="s">
        <v>110</v>
      </c>
      <c r="G142" s="83"/>
      <c r="H142" s="73"/>
      <c r="I142" s="74"/>
      <c r="J142" s="75"/>
    </row>
    <row r="143" spans="1:10" outlineLevel="2" x14ac:dyDescent="0.25">
      <c r="A143" s="67" t="s">
        <v>26</v>
      </c>
      <c r="B143" s="85">
        <v>5</v>
      </c>
      <c r="C143" s="69"/>
      <c r="D143" s="77" t="s">
        <v>221</v>
      </c>
      <c r="E143" s="71">
        <v>104</v>
      </c>
      <c r="F143" s="78" t="s">
        <v>110</v>
      </c>
      <c r="G143" s="83"/>
      <c r="H143" s="73"/>
      <c r="I143" s="74"/>
      <c r="J143" s="75"/>
    </row>
    <row r="144" spans="1:10" outlineLevel="2" x14ac:dyDescent="0.25">
      <c r="A144" s="67" t="s">
        <v>26</v>
      </c>
      <c r="B144" s="85">
        <v>6</v>
      </c>
      <c r="C144" s="69"/>
      <c r="D144" s="80" t="s">
        <v>20</v>
      </c>
      <c r="E144" s="71"/>
      <c r="F144" s="78"/>
      <c r="G144" s="78"/>
      <c r="H144" s="78"/>
      <c r="I144" s="78"/>
      <c r="J144" s="78"/>
    </row>
    <row r="145" spans="1:10" outlineLevel="2" x14ac:dyDescent="0.25">
      <c r="A145" s="67" t="s">
        <v>26</v>
      </c>
      <c r="B145" s="85">
        <v>7</v>
      </c>
      <c r="C145" s="69"/>
      <c r="D145" s="77" t="s">
        <v>117</v>
      </c>
      <c r="E145" s="71">
        <v>11</v>
      </c>
      <c r="F145" s="78" t="s">
        <v>110</v>
      </c>
      <c r="G145" s="83"/>
      <c r="H145" s="73">
        <f t="shared" ref="H145:H148" si="30">E145*G145</f>
        <v>0</v>
      </c>
      <c r="I145" s="74"/>
      <c r="J145" s="75"/>
    </row>
    <row r="146" spans="1:10" outlineLevel="2" x14ac:dyDescent="0.25">
      <c r="A146" s="67" t="s">
        <v>26</v>
      </c>
      <c r="B146" s="85">
        <v>8</v>
      </c>
      <c r="C146" s="69"/>
      <c r="D146" s="77" t="s">
        <v>119</v>
      </c>
      <c r="E146" s="71">
        <v>11</v>
      </c>
      <c r="F146" s="78" t="s">
        <v>110</v>
      </c>
      <c r="G146" s="83"/>
      <c r="H146" s="73">
        <f t="shared" si="30"/>
        <v>0</v>
      </c>
      <c r="I146" s="74"/>
      <c r="J146" s="75"/>
    </row>
    <row r="147" spans="1:10" outlineLevel="2" x14ac:dyDescent="0.25">
      <c r="A147" s="67" t="s">
        <v>26</v>
      </c>
      <c r="B147" s="85">
        <v>9</v>
      </c>
      <c r="C147" s="69"/>
      <c r="D147" s="77" t="s">
        <v>118</v>
      </c>
      <c r="E147" s="71">
        <v>11</v>
      </c>
      <c r="F147" s="78" t="s">
        <v>110</v>
      </c>
      <c r="G147" s="83"/>
      <c r="H147" s="73">
        <f t="shared" si="30"/>
        <v>0</v>
      </c>
      <c r="I147" s="74"/>
      <c r="J147" s="75"/>
    </row>
    <row r="148" spans="1:10" outlineLevel="2" x14ac:dyDescent="0.25">
      <c r="A148" s="67" t="s">
        <v>26</v>
      </c>
      <c r="B148" s="85">
        <v>10</v>
      </c>
      <c r="C148" s="69"/>
      <c r="D148" s="77" t="s">
        <v>129</v>
      </c>
      <c r="E148" s="71">
        <v>11</v>
      </c>
      <c r="F148" s="78" t="s">
        <v>110</v>
      </c>
      <c r="G148" s="83"/>
      <c r="H148" s="73">
        <f t="shared" si="30"/>
        <v>0</v>
      </c>
      <c r="I148" s="74"/>
      <c r="J148" s="75"/>
    </row>
    <row r="149" spans="1:10" ht="15.75" outlineLevel="1" thickBot="1" x14ac:dyDescent="0.3">
      <c r="A149" s="55"/>
      <c r="B149" s="56" t="s">
        <v>17</v>
      </c>
      <c r="C149" s="57"/>
      <c r="D149" s="57"/>
      <c r="E149" s="58"/>
      <c r="F149" s="59"/>
      <c r="G149" s="60"/>
      <c r="H149" s="61"/>
      <c r="I149" s="62">
        <f>SUM(H138:H149)</f>
        <v>0</v>
      </c>
      <c r="J149" s="63"/>
    </row>
    <row r="150" spans="1:10" ht="15.75" outlineLevel="1" thickTop="1" x14ac:dyDescent="0.25">
      <c r="A150" s="22"/>
      <c r="C150" s="23"/>
      <c r="D150" s="23"/>
      <c r="H150" s="65"/>
      <c r="I150" s="27"/>
      <c r="J150" s="66"/>
    </row>
    <row r="151" spans="1:10" outlineLevel="1" x14ac:dyDescent="0.25">
      <c r="A151" s="45"/>
      <c r="B151" s="46" t="s">
        <v>105</v>
      </c>
      <c r="C151" s="47"/>
      <c r="D151" s="48" t="s">
        <v>106</v>
      </c>
      <c r="E151" s="49"/>
      <c r="F151" s="50"/>
      <c r="G151" s="51"/>
      <c r="H151" s="52"/>
      <c r="I151" s="53"/>
      <c r="J151" s="54"/>
    </row>
    <row r="152" spans="1:10" outlineLevel="2" x14ac:dyDescent="0.25">
      <c r="A152" s="67" t="s">
        <v>26</v>
      </c>
      <c r="B152" s="85">
        <v>1</v>
      </c>
      <c r="C152" s="69"/>
      <c r="D152" s="77" t="s">
        <v>94</v>
      </c>
      <c r="E152" s="71">
        <v>2</v>
      </c>
      <c r="F152" s="78" t="s">
        <v>79</v>
      </c>
      <c r="G152" s="83"/>
      <c r="H152" s="73">
        <f t="shared" ref="H152:H157" si="31">E152*G152</f>
        <v>0</v>
      </c>
      <c r="I152" s="74"/>
      <c r="J152" s="75"/>
    </row>
    <row r="153" spans="1:10" outlineLevel="2" x14ac:dyDescent="0.25">
      <c r="A153" s="67" t="s">
        <v>26</v>
      </c>
      <c r="B153" s="85">
        <v>2</v>
      </c>
      <c r="C153" s="69"/>
      <c r="D153" s="77" t="s">
        <v>157</v>
      </c>
      <c r="E153" s="71">
        <v>2</v>
      </c>
      <c r="F153" s="78" t="s">
        <v>79</v>
      </c>
      <c r="G153" s="83"/>
      <c r="H153" s="73">
        <f t="shared" si="31"/>
        <v>0</v>
      </c>
      <c r="I153" s="74"/>
      <c r="J153" s="75"/>
    </row>
    <row r="154" spans="1:10" outlineLevel="2" x14ac:dyDescent="0.25">
      <c r="A154" s="67" t="s">
        <v>26</v>
      </c>
      <c r="B154" s="85">
        <v>3</v>
      </c>
      <c r="C154" s="69"/>
      <c r="D154" s="77" t="s">
        <v>109</v>
      </c>
      <c r="E154" s="71">
        <v>1</v>
      </c>
      <c r="F154" s="78" t="s">
        <v>79</v>
      </c>
      <c r="G154" s="83"/>
      <c r="H154" s="73">
        <f t="shared" si="31"/>
        <v>0</v>
      </c>
      <c r="I154" s="74"/>
      <c r="J154" s="75"/>
    </row>
    <row r="155" spans="1:10" outlineLevel="2" x14ac:dyDescent="0.25">
      <c r="A155" s="67" t="s">
        <v>26</v>
      </c>
      <c r="B155" s="85">
        <v>4</v>
      </c>
      <c r="C155" s="69"/>
      <c r="D155" s="77" t="s">
        <v>107</v>
      </c>
      <c r="E155" s="71">
        <v>1</v>
      </c>
      <c r="F155" s="78" t="s">
        <v>79</v>
      </c>
      <c r="G155" s="83"/>
      <c r="H155" s="73">
        <f t="shared" ref="H155" si="32">E155*G155</f>
        <v>0</v>
      </c>
      <c r="I155" s="74"/>
      <c r="J155" s="75"/>
    </row>
    <row r="156" spans="1:10" outlineLevel="2" x14ac:dyDescent="0.25">
      <c r="A156" s="67" t="s">
        <v>26</v>
      </c>
      <c r="B156" s="85">
        <v>5</v>
      </c>
      <c r="C156" s="69"/>
      <c r="D156" s="77" t="s">
        <v>108</v>
      </c>
      <c r="E156" s="71">
        <v>1</v>
      </c>
      <c r="F156" s="78" t="s">
        <v>79</v>
      </c>
      <c r="G156" s="83"/>
      <c r="H156" s="73">
        <f t="shared" si="31"/>
        <v>0</v>
      </c>
      <c r="I156" s="74"/>
      <c r="J156" s="75"/>
    </row>
    <row r="157" spans="1:10" outlineLevel="2" x14ac:dyDescent="0.25">
      <c r="A157" s="67" t="s">
        <v>26</v>
      </c>
      <c r="B157" s="85">
        <v>6</v>
      </c>
      <c r="C157" s="69"/>
      <c r="D157" s="77" t="s">
        <v>129</v>
      </c>
      <c r="E157" s="71">
        <v>1</v>
      </c>
      <c r="F157" s="78" t="s">
        <v>79</v>
      </c>
      <c r="G157" s="83"/>
      <c r="H157" s="73">
        <f t="shared" si="31"/>
        <v>0</v>
      </c>
      <c r="I157" s="74"/>
      <c r="J157" s="75"/>
    </row>
    <row r="158" spans="1:10" ht="15.75" outlineLevel="1" thickBot="1" x14ac:dyDescent="0.3">
      <c r="A158" s="55"/>
      <c r="B158" s="56" t="s">
        <v>17</v>
      </c>
      <c r="C158" s="57"/>
      <c r="D158" s="57"/>
      <c r="E158" s="58"/>
      <c r="F158" s="59"/>
      <c r="G158" s="60"/>
      <c r="H158" s="61"/>
      <c r="I158" s="62">
        <f>SUM(H150:H158)</f>
        <v>0</v>
      </c>
      <c r="J158" s="63"/>
    </row>
    <row r="159" spans="1:10" ht="15.75" outlineLevel="1" thickTop="1" x14ac:dyDescent="0.25">
      <c r="A159" s="22"/>
      <c r="C159" s="23"/>
      <c r="D159" s="23"/>
      <c r="H159" s="65"/>
      <c r="I159" s="27"/>
      <c r="J159" s="66"/>
    </row>
    <row r="160" spans="1:10" x14ac:dyDescent="0.25">
      <c r="A160" s="36"/>
      <c r="B160" s="37" t="s">
        <v>59</v>
      </c>
      <c r="C160" s="38"/>
      <c r="D160" s="38"/>
      <c r="E160" s="39"/>
      <c r="F160" s="40"/>
      <c r="G160" s="41"/>
      <c r="H160" s="42"/>
      <c r="I160" s="43"/>
      <c r="J160" s="44"/>
    </row>
    <row r="161" spans="1:10" outlineLevel="1" x14ac:dyDescent="0.25">
      <c r="A161" s="45"/>
      <c r="B161" s="46" t="s">
        <v>60</v>
      </c>
      <c r="C161" s="47"/>
      <c r="D161" s="48" t="s">
        <v>61</v>
      </c>
      <c r="E161" s="49"/>
      <c r="F161" s="50"/>
      <c r="G161" s="51"/>
      <c r="H161" s="52"/>
      <c r="I161" s="53"/>
      <c r="J161" s="54"/>
    </row>
    <row r="162" spans="1:10" outlineLevel="2" x14ac:dyDescent="0.25">
      <c r="A162" s="67" t="s">
        <v>26</v>
      </c>
      <c r="B162" s="85">
        <v>1</v>
      </c>
      <c r="C162" s="69"/>
      <c r="D162" s="80" t="s">
        <v>114</v>
      </c>
      <c r="E162" s="71"/>
      <c r="F162" s="78"/>
      <c r="G162" s="78"/>
      <c r="H162" s="78"/>
      <c r="I162" s="78"/>
      <c r="J162" s="78"/>
    </row>
    <row r="163" spans="1:10" ht="30" outlineLevel="2" x14ac:dyDescent="0.25">
      <c r="A163" s="67" t="s">
        <v>26</v>
      </c>
      <c r="B163" s="85">
        <v>2</v>
      </c>
      <c r="C163" s="69" t="s">
        <v>77</v>
      </c>
      <c r="D163" s="76" t="s">
        <v>223</v>
      </c>
      <c r="E163" s="71">
        <v>104</v>
      </c>
      <c r="F163" s="78" t="s">
        <v>110</v>
      </c>
      <c r="G163" s="83"/>
      <c r="H163" s="73"/>
      <c r="I163" s="74"/>
      <c r="J163" s="75"/>
    </row>
    <row r="164" spans="1:10" outlineLevel="2" x14ac:dyDescent="0.25">
      <c r="A164" s="67" t="s">
        <v>26</v>
      </c>
      <c r="B164" s="85">
        <v>3</v>
      </c>
      <c r="C164" s="69" t="s">
        <v>77</v>
      </c>
      <c r="D164" s="76" t="s">
        <v>246</v>
      </c>
      <c r="E164" s="71">
        <v>104</v>
      </c>
      <c r="F164" s="78" t="s">
        <v>110</v>
      </c>
      <c r="G164" s="83"/>
      <c r="H164" s="73"/>
      <c r="I164" s="74"/>
      <c r="J164" s="75"/>
    </row>
    <row r="165" spans="1:10" ht="30" outlineLevel="2" x14ac:dyDescent="0.25">
      <c r="A165" s="67" t="s">
        <v>26</v>
      </c>
      <c r="B165" s="85">
        <v>4</v>
      </c>
      <c r="C165" s="69" t="s">
        <v>125</v>
      </c>
      <c r="D165" s="76" t="s">
        <v>159</v>
      </c>
      <c r="E165" s="71">
        <v>104</v>
      </c>
      <c r="F165" s="78" t="s">
        <v>110</v>
      </c>
      <c r="G165" s="83"/>
      <c r="H165" s="73"/>
      <c r="I165" s="74"/>
      <c r="J165" s="75"/>
    </row>
    <row r="166" spans="1:10" outlineLevel="2" x14ac:dyDescent="0.25">
      <c r="A166" s="67" t="s">
        <v>26</v>
      </c>
      <c r="B166" s="85">
        <v>5</v>
      </c>
      <c r="C166" s="69"/>
      <c r="D166" s="80" t="s">
        <v>20</v>
      </c>
      <c r="E166" s="71"/>
      <c r="F166" s="78"/>
      <c r="G166" s="78"/>
      <c r="H166" s="78"/>
      <c r="I166" s="78"/>
      <c r="J166" s="78"/>
    </row>
    <row r="167" spans="1:10" outlineLevel="2" x14ac:dyDescent="0.25">
      <c r="A167" s="67" t="s">
        <v>26</v>
      </c>
      <c r="B167" s="85">
        <v>6</v>
      </c>
      <c r="C167" s="69" t="s">
        <v>77</v>
      </c>
      <c r="D167" s="76" t="s">
        <v>222</v>
      </c>
      <c r="E167" s="71">
        <v>11</v>
      </c>
      <c r="F167" s="78" t="s">
        <v>110</v>
      </c>
      <c r="G167" s="83"/>
      <c r="H167" s="73">
        <f t="shared" ref="H167:H169" si="33">E167*G167</f>
        <v>0</v>
      </c>
      <c r="I167" s="74"/>
      <c r="J167" s="75"/>
    </row>
    <row r="168" spans="1:10" outlineLevel="2" x14ac:dyDescent="0.25">
      <c r="A168" s="67" t="s">
        <v>26</v>
      </c>
      <c r="B168" s="85">
        <v>7</v>
      </c>
      <c r="C168" s="69" t="s">
        <v>77</v>
      </c>
      <c r="D168" s="76" t="s">
        <v>224</v>
      </c>
      <c r="E168" s="71">
        <v>11</v>
      </c>
      <c r="F168" s="78" t="s">
        <v>110</v>
      </c>
      <c r="G168" s="83"/>
      <c r="H168" s="73">
        <f t="shared" si="33"/>
        <v>0</v>
      </c>
      <c r="I168" s="74"/>
      <c r="J168" s="75"/>
    </row>
    <row r="169" spans="1:10" ht="30" outlineLevel="2" x14ac:dyDescent="0.25">
      <c r="A169" s="67" t="s">
        <v>26</v>
      </c>
      <c r="B169" s="85">
        <v>8</v>
      </c>
      <c r="C169" s="69" t="s">
        <v>125</v>
      </c>
      <c r="D169" s="76" t="s">
        <v>158</v>
      </c>
      <c r="E169" s="71">
        <v>11</v>
      </c>
      <c r="F169" s="78" t="s">
        <v>110</v>
      </c>
      <c r="G169" s="83"/>
      <c r="H169" s="73">
        <f t="shared" si="33"/>
        <v>0</v>
      </c>
      <c r="I169" s="74"/>
      <c r="J169" s="75"/>
    </row>
    <row r="170" spans="1:10" outlineLevel="2" x14ac:dyDescent="0.25">
      <c r="A170" s="67" t="s">
        <v>26</v>
      </c>
      <c r="B170" s="85">
        <v>9</v>
      </c>
      <c r="C170" s="69"/>
      <c r="D170" s="80" t="s">
        <v>127</v>
      </c>
      <c r="E170" s="71"/>
      <c r="F170" s="78"/>
      <c r="G170" s="78"/>
      <c r="H170" s="78"/>
      <c r="I170" s="78"/>
      <c r="J170" s="78"/>
    </row>
    <row r="171" spans="1:10" outlineLevel="2" x14ac:dyDescent="0.25">
      <c r="A171" s="67" t="s">
        <v>26</v>
      </c>
      <c r="B171" s="85">
        <v>10</v>
      </c>
      <c r="C171" s="69"/>
      <c r="D171" s="76" t="s">
        <v>113</v>
      </c>
      <c r="E171" s="71">
        <v>1</v>
      </c>
      <c r="F171" s="78" t="s">
        <v>110</v>
      </c>
      <c r="G171" s="83"/>
      <c r="H171" s="73">
        <f t="shared" ref="H171" si="34">E171*G171</f>
        <v>0</v>
      </c>
      <c r="I171" s="74"/>
      <c r="J171" s="75"/>
    </row>
    <row r="172" spans="1:10" outlineLevel="2" x14ac:dyDescent="0.25">
      <c r="A172" s="67" t="s">
        <v>26</v>
      </c>
      <c r="B172" s="85">
        <v>11</v>
      </c>
      <c r="C172" s="69"/>
      <c r="D172" s="76" t="s">
        <v>111</v>
      </c>
      <c r="E172" s="71">
        <v>1</v>
      </c>
      <c r="F172" s="78" t="s">
        <v>110</v>
      </c>
      <c r="G172" s="83"/>
      <c r="H172" s="73">
        <f t="shared" ref="H172" si="35">E172*G172</f>
        <v>0</v>
      </c>
      <c r="I172" s="74"/>
      <c r="J172" s="75"/>
    </row>
    <row r="173" spans="1:10" ht="15.75" outlineLevel="1" thickBot="1" x14ac:dyDescent="0.3">
      <c r="A173" s="55"/>
      <c r="B173" s="56" t="s">
        <v>17</v>
      </c>
      <c r="C173" s="57"/>
      <c r="D173" s="57"/>
      <c r="E173" s="58"/>
      <c r="F173" s="59"/>
      <c r="G173" s="60"/>
      <c r="H173" s="61"/>
      <c r="I173" s="62">
        <f>SUM(H161:H173)</f>
        <v>0</v>
      </c>
      <c r="J173" s="63"/>
    </row>
    <row r="174" spans="1:10" ht="15.75" outlineLevel="1" thickTop="1" x14ac:dyDescent="0.25">
      <c r="A174" s="22"/>
      <c r="C174" s="23"/>
      <c r="D174" s="23"/>
      <c r="H174" s="65"/>
      <c r="I174" s="27"/>
      <c r="J174" s="66"/>
    </row>
    <row r="175" spans="1:10" x14ac:dyDescent="0.25">
      <c r="A175" s="36"/>
      <c r="B175" s="37" t="s">
        <v>62</v>
      </c>
      <c r="C175" s="38"/>
      <c r="D175" s="38"/>
      <c r="E175" s="39"/>
      <c r="F175" s="40"/>
      <c r="G175" s="41"/>
      <c r="H175" s="42"/>
      <c r="I175" s="43"/>
      <c r="J175" s="44"/>
    </row>
    <row r="176" spans="1:10" outlineLevel="1" x14ac:dyDescent="0.25">
      <c r="A176" s="45"/>
      <c r="B176" s="46" t="s">
        <v>63</v>
      </c>
      <c r="C176" s="47"/>
      <c r="D176" s="48" t="s">
        <v>96</v>
      </c>
      <c r="E176" s="49"/>
      <c r="F176" s="50"/>
      <c r="G176" s="51"/>
      <c r="H176" s="52"/>
      <c r="I176" s="53"/>
      <c r="J176" s="54"/>
    </row>
    <row r="177" spans="1:10" outlineLevel="2" x14ac:dyDescent="0.25">
      <c r="A177" s="67" t="s">
        <v>0</v>
      </c>
      <c r="B177" s="79">
        <v>1</v>
      </c>
      <c r="C177" s="69"/>
      <c r="D177" s="80" t="s">
        <v>163</v>
      </c>
      <c r="E177" s="71"/>
      <c r="F177" s="78"/>
      <c r="G177" s="78"/>
      <c r="H177" s="78"/>
      <c r="I177" s="78"/>
      <c r="J177" s="78"/>
    </row>
    <row r="178" spans="1:10" ht="30" outlineLevel="2" x14ac:dyDescent="0.25">
      <c r="A178" s="67" t="s">
        <v>0</v>
      </c>
      <c r="B178" s="79">
        <v>2</v>
      </c>
      <c r="C178" s="69"/>
      <c r="D178" s="77" t="s">
        <v>225</v>
      </c>
      <c r="E178" s="71">
        <v>11</v>
      </c>
      <c r="F178" s="78" t="s">
        <v>110</v>
      </c>
      <c r="G178" s="83">
        <v>1450</v>
      </c>
      <c r="H178" s="73">
        <f t="shared" ref="H178:H185" si="36">E178*G178</f>
        <v>15950</v>
      </c>
      <c r="I178" s="74"/>
      <c r="J178" s="75"/>
    </row>
    <row r="179" spans="1:10" ht="30" outlineLevel="2" x14ac:dyDescent="0.25">
      <c r="A179" s="67" t="s">
        <v>0</v>
      </c>
      <c r="B179" s="79">
        <v>3</v>
      </c>
      <c r="C179" s="69"/>
      <c r="D179" s="77" t="s">
        <v>226</v>
      </c>
      <c r="E179" s="71">
        <v>104</v>
      </c>
      <c r="F179" s="78" t="s">
        <v>110</v>
      </c>
      <c r="G179" s="83">
        <v>1450</v>
      </c>
      <c r="H179" s="73"/>
      <c r="I179" s="74"/>
      <c r="J179" s="109"/>
    </row>
    <row r="180" spans="1:10" ht="30" outlineLevel="2" x14ac:dyDescent="0.25">
      <c r="A180" s="67" t="s">
        <v>0</v>
      </c>
      <c r="B180" s="79">
        <v>4</v>
      </c>
      <c r="C180" s="69"/>
      <c r="D180" s="77" t="s">
        <v>220</v>
      </c>
      <c r="E180" s="71">
        <v>13</v>
      </c>
      <c r="F180" s="78" t="s">
        <v>110</v>
      </c>
      <c r="G180" s="83">
        <v>290</v>
      </c>
      <c r="H180" s="73">
        <f t="shared" si="36"/>
        <v>3770</v>
      </c>
      <c r="I180" s="74"/>
      <c r="J180" s="75"/>
    </row>
    <row r="181" spans="1:10" outlineLevel="2" x14ac:dyDescent="0.25">
      <c r="A181" s="67" t="s">
        <v>0</v>
      </c>
      <c r="B181" s="79">
        <v>5</v>
      </c>
      <c r="C181" s="69"/>
      <c r="D181" s="77" t="s">
        <v>219</v>
      </c>
      <c r="E181" s="71">
        <v>104</v>
      </c>
      <c r="F181" s="78" t="s">
        <v>110</v>
      </c>
      <c r="G181" s="83">
        <v>290</v>
      </c>
      <c r="H181" s="73"/>
      <c r="I181" s="74"/>
      <c r="J181" s="75"/>
    </row>
    <row r="182" spans="1:10" ht="30" outlineLevel="2" x14ac:dyDescent="0.25">
      <c r="A182" s="67" t="s">
        <v>0</v>
      </c>
      <c r="B182" s="79">
        <v>6</v>
      </c>
      <c r="C182" s="69" t="s">
        <v>125</v>
      </c>
      <c r="D182" s="76" t="s">
        <v>158</v>
      </c>
      <c r="E182" s="71">
        <v>11</v>
      </c>
      <c r="F182" s="78" t="s">
        <v>110</v>
      </c>
      <c r="G182" s="83">
        <v>795</v>
      </c>
      <c r="H182" s="73">
        <f t="shared" si="36"/>
        <v>8745</v>
      </c>
      <c r="I182" s="74"/>
      <c r="J182" s="75"/>
    </row>
    <row r="183" spans="1:10" ht="30" outlineLevel="2" x14ac:dyDescent="0.25">
      <c r="A183" s="67" t="s">
        <v>0</v>
      </c>
      <c r="B183" s="79">
        <v>7</v>
      </c>
      <c r="C183" s="69" t="s">
        <v>125</v>
      </c>
      <c r="D183" s="76" t="s">
        <v>159</v>
      </c>
      <c r="E183" s="71">
        <v>104</v>
      </c>
      <c r="F183" s="78" t="s">
        <v>110</v>
      </c>
      <c r="G183" s="83">
        <v>795</v>
      </c>
      <c r="H183" s="73"/>
      <c r="I183" s="74"/>
      <c r="J183" s="75"/>
    </row>
    <row r="184" spans="1:10" outlineLevel="2" x14ac:dyDescent="0.25">
      <c r="A184" s="67" t="s">
        <v>0</v>
      </c>
      <c r="B184" s="79">
        <v>8</v>
      </c>
      <c r="C184" s="69"/>
      <c r="D184" s="80" t="s">
        <v>212</v>
      </c>
      <c r="E184" s="71"/>
      <c r="F184" s="78"/>
      <c r="G184" s="78"/>
      <c r="H184" s="78"/>
      <c r="I184" s="78"/>
      <c r="J184" s="78"/>
    </row>
    <row r="185" spans="1:10" ht="30" outlineLevel="2" x14ac:dyDescent="0.25">
      <c r="A185" s="67" t="s">
        <v>0</v>
      </c>
      <c r="B185" s="79">
        <v>9</v>
      </c>
      <c r="C185" s="69"/>
      <c r="D185" s="77" t="s">
        <v>165</v>
      </c>
      <c r="E185" s="71">
        <v>12</v>
      </c>
      <c r="F185" s="78" t="s">
        <v>126</v>
      </c>
      <c r="G185" s="83">
        <v>1995</v>
      </c>
      <c r="H185" s="73">
        <f t="shared" si="36"/>
        <v>23940</v>
      </c>
      <c r="I185" s="74"/>
      <c r="J185" s="75"/>
    </row>
    <row r="186" spans="1:10" outlineLevel="2" x14ac:dyDescent="0.25">
      <c r="A186" s="67" t="s">
        <v>0</v>
      </c>
      <c r="B186" s="79">
        <v>10</v>
      </c>
      <c r="C186" s="69" t="s">
        <v>77</v>
      </c>
      <c r="D186" s="77" t="s">
        <v>166</v>
      </c>
      <c r="E186" s="71">
        <v>12</v>
      </c>
      <c r="F186" s="78" t="s">
        <v>77</v>
      </c>
      <c r="G186" s="83">
        <v>405</v>
      </c>
      <c r="H186" s="73">
        <f t="shared" ref="H186:H187" si="37">E186*G186</f>
        <v>4860</v>
      </c>
      <c r="I186" s="74"/>
      <c r="J186" s="75"/>
    </row>
    <row r="187" spans="1:10" ht="45" outlineLevel="2" x14ac:dyDescent="0.25">
      <c r="A187" s="67" t="s">
        <v>0</v>
      </c>
      <c r="B187" s="79">
        <v>11</v>
      </c>
      <c r="C187" s="69" t="s">
        <v>77</v>
      </c>
      <c r="D187" s="77" t="s">
        <v>168</v>
      </c>
      <c r="E187" s="71">
        <v>12</v>
      </c>
      <c r="F187" s="78" t="s">
        <v>77</v>
      </c>
      <c r="G187" s="83">
        <v>1865</v>
      </c>
      <c r="H187" s="73">
        <f t="shared" si="37"/>
        <v>22380</v>
      </c>
      <c r="I187" s="74"/>
      <c r="J187" s="75"/>
    </row>
    <row r="188" spans="1:10" outlineLevel="2" x14ac:dyDescent="0.25">
      <c r="A188" s="67" t="s">
        <v>0</v>
      </c>
      <c r="B188" s="79">
        <v>12</v>
      </c>
      <c r="C188" s="69"/>
      <c r="D188" s="77" t="s">
        <v>167</v>
      </c>
      <c r="E188" s="71">
        <v>2</v>
      </c>
      <c r="F188" s="78" t="s">
        <v>79</v>
      </c>
      <c r="G188" s="83">
        <v>115</v>
      </c>
      <c r="H188" s="73">
        <f t="shared" ref="H188" si="38">E188*G188</f>
        <v>230</v>
      </c>
      <c r="I188" s="74"/>
      <c r="J188" s="75"/>
    </row>
    <row r="189" spans="1:10" outlineLevel="2" x14ac:dyDescent="0.25">
      <c r="A189" s="67" t="s">
        <v>0</v>
      </c>
      <c r="B189" s="79">
        <v>13</v>
      </c>
      <c r="C189" s="69"/>
      <c r="D189" s="77" t="s">
        <v>213</v>
      </c>
      <c r="E189" s="71">
        <v>1</v>
      </c>
      <c r="F189" s="78" t="s">
        <v>79</v>
      </c>
      <c r="G189" s="83">
        <v>650</v>
      </c>
      <c r="H189" s="73">
        <f t="shared" ref="H189" si="39">E189*G189</f>
        <v>650</v>
      </c>
      <c r="I189" s="74"/>
      <c r="J189" s="75"/>
    </row>
    <row r="190" spans="1:10" outlineLevel="2" x14ac:dyDescent="0.25">
      <c r="A190" s="67" t="s">
        <v>0</v>
      </c>
      <c r="B190" s="79">
        <v>14</v>
      </c>
      <c r="C190" s="69"/>
      <c r="D190" s="77" t="s">
        <v>229</v>
      </c>
      <c r="E190" s="71">
        <v>115</v>
      </c>
      <c r="F190" s="78" t="s">
        <v>93</v>
      </c>
      <c r="G190" s="83" t="s">
        <v>249</v>
      </c>
      <c r="H190" s="73"/>
      <c r="I190" s="74"/>
      <c r="J190" s="75"/>
    </row>
    <row r="191" spans="1:10" outlineLevel="2" x14ac:dyDescent="0.25">
      <c r="A191" s="67" t="s">
        <v>0</v>
      </c>
      <c r="B191" s="79">
        <v>15</v>
      </c>
      <c r="C191" s="69"/>
      <c r="D191" s="80" t="s">
        <v>162</v>
      </c>
      <c r="E191" s="71"/>
      <c r="F191" s="78"/>
      <c r="G191" s="78"/>
      <c r="H191" s="78"/>
      <c r="I191" s="78"/>
      <c r="J191" s="78"/>
    </row>
    <row r="192" spans="1:10" ht="45" outlineLevel="2" x14ac:dyDescent="0.25">
      <c r="A192" s="67" t="s">
        <v>0</v>
      </c>
      <c r="B192" s="79">
        <v>16</v>
      </c>
      <c r="C192" s="69"/>
      <c r="D192" s="77" t="s">
        <v>227</v>
      </c>
      <c r="E192" s="71">
        <v>7</v>
      </c>
      <c r="F192" s="78" t="s">
        <v>92</v>
      </c>
      <c r="G192" s="83">
        <v>18095</v>
      </c>
      <c r="H192" s="73">
        <f t="shared" ref="H192" si="40">E192*G192</f>
        <v>126665</v>
      </c>
      <c r="I192" s="74"/>
      <c r="J192" s="75"/>
    </row>
    <row r="193" spans="1:10" ht="15.75" outlineLevel="1" thickBot="1" x14ac:dyDescent="0.3">
      <c r="A193" s="55"/>
      <c r="B193" s="56" t="s">
        <v>17</v>
      </c>
      <c r="C193" s="57"/>
      <c r="D193" s="57"/>
      <c r="E193" s="58"/>
      <c r="F193" s="59"/>
      <c r="G193" s="60"/>
      <c r="H193" s="61"/>
      <c r="I193" s="62">
        <f>SUM(H176:H193)</f>
        <v>207190</v>
      </c>
      <c r="J193" s="96"/>
    </row>
    <row r="194" spans="1:10" ht="15.75" outlineLevel="1" thickTop="1" x14ac:dyDescent="0.25">
      <c r="A194" s="22"/>
      <c r="C194" s="23"/>
      <c r="D194" s="23"/>
      <c r="H194" s="65"/>
      <c r="I194" s="27"/>
      <c r="J194" s="66"/>
    </row>
    <row r="195" spans="1:10" outlineLevel="1" x14ac:dyDescent="0.25">
      <c r="A195" s="45"/>
      <c r="B195" s="46" t="s">
        <v>148</v>
      </c>
      <c r="C195" s="47"/>
      <c r="D195" s="48" t="s">
        <v>138</v>
      </c>
      <c r="E195" s="49"/>
      <c r="F195" s="50"/>
      <c r="G195" s="51"/>
      <c r="H195" s="52"/>
      <c r="I195" s="53"/>
      <c r="J195" s="54"/>
    </row>
    <row r="196" spans="1:10" outlineLevel="2" x14ac:dyDescent="0.25">
      <c r="A196" s="67" t="s">
        <v>0</v>
      </c>
      <c r="B196" s="79">
        <v>1</v>
      </c>
      <c r="C196" s="69"/>
      <c r="D196" s="80" t="s">
        <v>160</v>
      </c>
      <c r="E196" s="71"/>
      <c r="F196" s="78"/>
      <c r="G196" s="78"/>
      <c r="H196" s="78"/>
      <c r="I196" s="78"/>
      <c r="J196" s="78"/>
    </row>
    <row r="197" spans="1:10" ht="30" outlineLevel="2" x14ac:dyDescent="0.25">
      <c r="A197" s="67" t="s">
        <v>0</v>
      </c>
      <c r="B197" s="79">
        <v>2</v>
      </c>
      <c r="C197" s="69"/>
      <c r="D197" s="77" t="s">
        <v>225</v>
      </c>
      <c r="E197" s="71">
        <v>1</v>
      </c>
      <c r="F197" s="78" t="s">
        <v>79</v>
      </c>
      <c r="G197" s="83">
        <v>2182</v>
      </c>
      <c r="H197" s="73">
        <f t="shared" ref="H197:H200" si="41">E197*G197</f>
        <v>2182</v>
      </c>
      <c r="I197" s="74"/>
      <c r="J197" s="75"/>
    </row>
    <row r="198" spans="1:10" ht="30" outlineLevel="2" x14ac:dyDescent="0.25">
      <c r="A198" s="67" t="s">
        <v>0</v>
      </c>
      <c r="B198" s="79">
        <v>3</v>
      </c>
      <c r="C198" s="69"/>
      <c r="D198" s="77" t="s">
        <v>214</v>
      </c>
      <c r="E198" s="71">
        <v>1</v>
      </c>
      <c r="F198" s="78" t="s">
        <v>79</v>
      </c>
      <c r="G198" s="83">
        <v>585</v>
      </c>
      <c r="H198" s="73">
        <f t="shared" si="41"/>
        <v>585</v>
      </c>
      <c r="I198" s="74"/>
      <c r="J198" s="75"/>
    </row>
    <row r="199" spans="1:10" outlineLevel="2" x14ac:dyDescent="0.25">
      <c r="A199" s="67" t="s">
        <v>0</v>
      </c>
      <c r="B199" s="79">
        <v>4</v>
      </c>
      <c r="C199" s="69"/>
      <c r="D199" s="80" t="s">
        <v>161</v>
      </c>
      <c r="E199" s="71"/>
      <c r="F199" s="78"/>
      <c r="G199" s="78"/>
      <c r="H199" s="78"/>
      <c r="I199" s="78"/>
      <c r="J199" s="78"/>
    </row>
    <row r="200" spans="1:10" ht="60" outlineLevel="2" x14ac:dyDescent="0.25">
      <c r="A200" s="67" t="s">
        <v>0</v>
      </c>
      <c r="B200" s="79">
        <v>5</v>
      </c>
      <c r="C200" s="69"/>
      <c r="D200" s="77" t="s">
        <v>231</v>
      </c>
      <c r="E200" s="71">
        <v>1</v>
      </c>
      <c r="F200" s="78" t="s">
        <v>79</v>
      </c>
      <c r="G200" s="83">
        <v>14250</v>
      </c>
      <c r="H200" s="73">
        <f t="shared" si="41"/>
        <v>14250</v>
      </c>
      <c r="I200" s="74"/>
      <c r="J200" s="75"/>
    </row>
    <row r="201" spans="1:10" ht="15.75" outlineLevel="1" thickBot="1" x14ac:dyDescent="0.3">
      <c r="A201" s="55"/>
      <c r="B201" s="56" t="s">
        <v>17</v>
      </c>
      <c r="C201" s="57"/>
      <c r="D201" s="57"/>
      <c r="E201" s="58"/>
      <c r="F201" s="59"/>
      <c r="G201" s="60"/>
      <c r="H201" s="61"/>
      <c r="I201" s="62">
        <f>SUM(H195:H201)</f>
        <v>17017</v>
      </c>
      <c r="J201" s="96"/>
    </row>
    <row r="202" spans="1:10" ht="15.75" outlineLevel="1" thickTop="1" x14ac:dyDescent="0.25">
      <c r="A202" s="22"/>
      <c r="C202" s="23"/>
      <c r="D202" s="23"/>
      <c r="H202" s="65"/>
      <c r="I202" s="27"/>
      <c r="J202" s="66"/>
    </row>
    <row r="203" spans="1:10" x14ac:dyDescent="0.25">
      <c r="A203" s="36"/>
      <c r="B203" s="37" t="s">
        <v>64</v>
      </c>
      <c r="C203" s="38"/>
      <c r="D203" s="38"/>
      <c r="E203" s="39"/>
      <c r="F203" s="40"/>
      <c r="G203" s="41"/>
      <c r="H203" s="42"/>
      <c r="I203" s="43"/>
      <c r="J203" s="44"/>
    </row>
    <row r="204" spans="1:10" outlineLevel="1" x14ac:dyDescent="0.25">
      <c r="A204" s="45"/>
      <c r="B204" s="46" t="s">
        <v>65</v>
      </c>
      <c r="C204" s="47"/>
      <c r="D204" s="48" t="s">
        <v>230</v>
      </c>
      <c r="E204" s="49"/>
      <c r="F204" s="50"/>
      <c r="G204" s="51"/>
      <c r="H204" s="52"/>
      <c r="I204" s="53"/>
      <c r="J204" s="54"/>
    </row>
    <row r="205" spans="1:10" ht="45" outlineLevel="2" x14ac:dyDescent="0.25">
      <c r="A205" s="67" t="s">
        <v>2</v>
      </c>
      <c r="B205" s="101">
        <v>1</v>
      </c>
      <c r="C205" s="69"/>
      <c r="D205" s="77" t="s">
        <v>210</v>
      </c>
      <c r="E205" s="71">
        <v>115</v>
      </c>
      <c r="F205" s="78" t="s">
        <v>93</v>
      </c>
      <c r="G205" s="83"/>
      <c r="H205" s="73">
        <f t="shared" ref="H205:H207" si="42">E205*G205</f>
        <v>0</v>
      </c>
      <c r="I205" s="74"/>
      <c r="J205" s="75"/>
    </row>
    <row r="206" spans="1:10" outlineLevel="2" x14ac:dyDescent="0.25">
      <c r="A206" s="67" t="s">
        <v>2</v>
      </c>
      <c r="B206" s="101">
        <v>2</v>
      </c>
      <c r="C206" s="69"/>
      <c r="D206" s="77" t="s">
        <v>211</v>
      </c>
      <c r="E206" s="71">
        <v>115</v>
      </c>
      <c r="F206" s="78" t="s">
        <v>93</v>
      </c>
      <c r="G206" s="83"/>
      <c r="H206" s="73">
        <f t="shared" si="42"/>
        <v>0</v>
      </c>
      <c r="I206" s="74"/>
      <c r="J206" s="75"/>
    </row>
    <row r="207" spans="1:10" ht="30" outlineLevel="2" x14ac:dyDescent="0.25">
      <c r="A207" s="67" t="s">
        <v>2</v>
      </c>
      <c r="B207" s="101">
        <v>3</v>
      </c>
      <c r="C207" s="69"/>
      <c r="D207" s="77" t="s">
        <v>232</v>
      </c>
      <c r="E207" s="71">
        <v>115</v>
      </c>
      <c r="F207" s="78" t="s">
        <v>93</v>
      </c>
      <c r="G207" s="83"/>
      <c r="H207" s="73">
        <f t="shared" si="42"/>
        <v>0</v>
      </c>
      <c r="I207" s="74"/>
      <c r="J207" s="75"/>
    </row>
    <row r="208" spans="1:10" outlineLevel="2" x14ac:dyDescent="0.25">
      <c r="A208" s="67" t="s">
        <v>2</v>
      </c>
      <c r="B208" s="101">
        <v>4</v>
      </c>
      <c r="C208" s="69"/>
      <c r="D208" s="80" t="s">
        <v>162</v>
      </c>
      <c r="E208" s="71"/>
      <c r="F208" s="78"/>
      <c r="G208" s="78"/>
      <c r="H208" s="78"/>
      <c r="I208" s="78"/>
      <c r="J208" s="78"/>
    </row>
    <row r="209" spans="1:10" ht="30" outlineLevel="2" x14ac:dyDescent="0.25">
      <c r="A209" s="67" t="s">
        <v>2</v>
      </c>
      <c r="B209" s="101">
        <v>5</v>
      </c>
      <c r="C209" s="69"/>
      <c r="D209" s="77" t="s">
        <v>228</v>
      </c>
      <c r="E209" s="71">
        <v>14</v>
      </c>
      <c r="F209" s="78" t="s">
        <v>92</v>
      </c>
      <c r="G209" s="83"/>
      <c r="H209" s="73">
        <f>E209*G209</f>
        <v>0</v>
      </c>
      <c r="I209" s="74"/>
      <c r="J209" s="75"/>
    </row>
    <row r="210" spans="1:10" ht="15.75" outlineLevel="1" thickBot="1" x14ac:dyDescent="0.3">
      <c r="A210" s="55"/>
      <c r="B210" s="56" t="s">
        <v>17</v>
      </c>
      <c r="C210" s="57"/>
      <c r="D210" s="57"/>
      <c r="E210" s="58"/>
      <c r="F210" s="59"/>
      <c r="G210" s="60"/>
      <c r="H210" s="61"/>
      <c r="I210" s="62">
        <f>SUM(H204:H210)</f>
        <v>0</v>
      </c>
      <c r="J210" s="63"/>
    </row>
    <row r="211" spans="1:10" ht="15.75" outlineLevel="1" thickTop="1" x14ac:dyDescent="0.25">
      <c r="A211" s="22"/>
      <c r="C211" s="23"/>
      <c r="D211" s="23"/>
      <c r="H211" s="65"/>
      <c r="I211" s="27"/>
      <c r="J211" s="66"/>
    </row>
    <row r="212" spans="1:10" x14ac:dyDescent="0.25">
      <c r="A212" s="36"/>
      <c r="B212" s="37" t="s">
        <v>66</v>
      </c>
      <c r="C212" s="38"/>
      <c r="D212" s="38"/>
      <c r="E212" s="39"/>
      <c r="F212" s="40"/>
      <c r="G212" s="41"/>
      <c r="H212" s="42"/>
      <c r="I212" s="43"/>
      <c r="J212" s="44"/>
    </row>
    <row r="213" spans="1:10" outlineLevel="1" x14ac:dyDescent="0.25">
      <c r="A213" s="45"/>
      <c r="B213" s="46" t="s">
        <v>67</v>
      </c>
      <c r="C213" s="47"/>
      <c r="D213" s="48" t="s">
        <v>130</v>
      </c>
      <c r="E213" s="49"/>
      <c r="F213" s="50"/>
      <c r="G213" s="51"/>
      <c r="H213" s="52"/>
      <c r="I213" s="53"/>
      <c r="J213" s="54"/>
    </row>
    <row r="214" spans="1:10" outlineLevel="2" x14ac:dyDescent="0.25">
      <c r="A214" s="67" t="s">
        <v>1</v>
      </c>
      <c r="B214" s="101">
        <v>1</v>
      </c>
      <c r="C214" s="69"/>
      <c r="D214" s="80" t="s">
        <v>163</v>
      </c>
      <c r="E214" s="71"/>
      <c r="F214" s="71"/>
      <c r="G214" s="71"/>
      <c r="H214" s="71"/>
      <c r="I214" s="74"/>
      <c r="J214" s="71"/>
    </row>
    <row r="215" spans="1:10" ht="45" outlineLevel="2" x14ac:dyDescent="0.25">
      <c r="A215" s="67" t="s">
        <v>1</v>
      </c>
      <c r="B215" s="101">
        <v>2</v>
      </c>
      <c r="C215" s="69"/>
      <c r="D215" s="77" t="s">
        <v>131</v>
      </c>
      <c r="E215" s="108">
        <v>115</v>
      </c>
      <c r="F215" s="78" t="s">
        <v>93</v>
      </c>
      <c r="G215" s="83"/>
      <c r="H215" s="73">
        <f t="shared" ref="H215:H217" si="43">E215*G215</f>
        <v>0</v>
      </c>
      <c r="I215" s="74"/>
      <c r="J215" s="75"/>
    </row>
    <row r="216" spans="1:10" ht="30" outlineLevel="2" x14ac:dyDescent="0.25">
      <c r="A216" s="67" t="s">
        <v>1</v>
      </c>
      <c r="B216" s="101">
        <v>3</v>
      </c>
      <c r="C216" s="69"/>
      <c r="D216" s="77" t="s">
        <v>233</v>
      </c>
      <c r="E216" s="108">
        <v>85</v>
      </c>
      <c r="F216" s="78" t="s">
        <v>79</v>
      </c>
      <c r="G216" s="83"/>
      <c r="H216" s="73">
        <f t="shared" si="43"/>
        <v>0</v>
      </c>
      <c r="I216" s="74"/>
      <c r="J216" s="75"/>
    </row>
    <row r="217" spans="1:10" outlineLevel="2" x14ac:dyDescent="0.25">
      <c r="A217" s="67" t="s">
        <v>1</v>
      </c>
      <c r="B217" s="101">
        <v>4</v>
      </c>
      <c r="C217" s="69"/>
      <c r="D217" s="77" t="s">
        <v>234</v>
      </c>
      <c r="E217" s="108">
        <v>255</v>
      </c>
      <c r="F217" s="78" t="s">
        <v>79</v>
      </c>
      <c r="G217" s="83"/>
      <c r="H217" s="73">
        <f t="shared" si="43"/>
        <v>0</v>
      </c>
      <c r="I217" s="74"/>
      <c r="J217" s="75"/>
    </row>
    <row r="218" spans="1:10" outlineLevel="2" x14ac:dyDescent="0.25">
      <c r="A218" s="67" t="s">
        <v>1</v>
      </c>
      <c r="B218" s="101">
        <v>5</v>
      </c>
      <c r="C218" s="69"/>
      <c r="D218" s="77" t="s">
        <v>235</v>
      </c>
      <c r="E218" s="108">
        <v>170</v>
      </c>
      <c r="F218" s="78" t="s">
        <v>79</v>
      </c>
      <c r="G218" s="83"/>
      <c r="H218" s="73">
        <f t="shared" ref="H218:H219" si="44">E218*G218</f>
        <v>0</v>
      </c>
      <c r="I218" s="74"/>
      <c r="J218" s="75"/>
    </row>
    <row r="219" spans="1:10" outlineLevel="2" x14ac:dyDescent="0.25">
      <c r="A219" s="67" t="s">
        <v>1</v>
      </c>
      <c r="B219" s="101">
        <v>6</v>
      </c>
      <c r="C219" s="69"/>
      <c r="D219" s="77" t="s">
        <v>237</v>
      </c>
      <c r="E219" s="108">
        <v>230</v>
      </c>
      <c r="F219" s="78" t="s">
        <v>79</v>
      </c>
      <c r="G219" s="83"/>
      <c r="H219" s="73">
        <f t="shared" si="44"/>
        <v>0</v>
      </c>
      <c r="I219" s="74"/>
      <c r="J219" s="75"/>
    </row>
    <row r="220" spans="1:10" outlineLevel="2" x14ac:dyDescent="0.25">
      <c r="A220" s="67" t="s">
        <v>1</v>
      </c>
      <c r="B220" s="101">
        <v>7</v>
      </c>
      <c r="C220" s="69" t="s">
        <v>125</v>
      </c>
      <c r="D220" s="77" t="s">
        <v>236</v>
      </c>
      <c r="E220" s="108">
        <v>230</v>
      </c>
      <c r="F220" s="78" t="s">
        <v>79</v>
      </c>
      <c r="G220" s="83"/>
      <c r="H220" s="73">
        <f t="shared" ref="H220" si="45">E220*G220</f>
        <v>0</v>
      </c>
      <c r="I220" s="74"/>
      <c r="J220" s="75"/>
    </row>
    <row r="221" spans="1:10" ht="30" outlineLevel="2" x14ac:dyDescent="0.25">
      <c r="A221" s="67" t="s">
        <v>1</v>
      </c>
      <c r="B221" s="101">
        <v>8</v>
      </c>
      <c r="C221" s="69"/>
      <c r="D221" s="77" t="s">
        <v>242</v>
      </c>
      <c r="E221" s="108">
        <v>174</v>
      </c>
      <c r="F221" s="78" t="s">
        <v>79</v>
      </c>
      <c r="G221" s="83"/>
      <c r="H221" s="73">
        <f t="shared" ref="H221" si="46">E221*G221</f>
        <v>0</v>
      </c>
      <c r="I221" s="74"/>
      <c r="J221" s="75"/>
    </row>
    <row r="222" spans="1:10" outlineLevel="2" x14ac:dyDescent="0.25">
      <c r="A222" s="67" t="s">
        <v>1</v>
      </c>
      <c r="B222" s="101">
        <v>9</v>
      </c>
      <c r="C222" s="69"/>
      <c r="D222" s="80" t="s">
        <v>133</v>
      </c>
      <c r="E222" s="71"/>
      <c r="F222" s="71"/>
      <c r="G222" s="71"/>
      <c r="H222" s="71"/>
      <c r="I222" s="74"/>
      <c r="J222" s="71"/>
    </row>
    <row r="223" spans="1:10" ht="30" outlineLevel="2" x14ac:dyDescent="0.25">
      <c r="A223" s="67" t="s">
        <v>1</v>
      </c>
      <c r="B223" s="101">
        <v>10</v>
      </c>
      <c r="C223" s="69"/>
      <c r="D223" s="77" t="s">
        <v>239</v>
      </c>
      <c r="E223" s="108">
        <v>14</v>
      </c>
      <c r="F223" s="78" t="s">
        <v>92</v>
      </c>
      <c r="G223" s="83"/>
      <c r="H223" s="73">
        <f t="shared" ref="H223:H224" si="47">E223*G223</f>
        <v>0</v>
      </c>
      <c r="I223" s="74"/>
      <c r="J223" s="75"/>
    </row>
    <row r="224" spans="1:10" ht="45" outlineLevel="2" x14ac:dyDescent="0.25">
      <c r="A224" s="67" t="s">
        <v>1</v>
      </c>
      <c r="B224" s="101">
        <v>11</v>
      </c>
      <c r="C224" s="69"/>
      <c r="D224" s="77" t="s">
        <v>241</v>
      </c>
      <c r="E224" s="108">
        <v>14</v>
      </c>
      <c r="F224" s="78" t="s">
        <v>92</v>
      </c>
      <c r="G224" s="83"/>
      <c r="H224" s="73">
        <f t="shared" si="47"/>
        <v>0</v>
      </c>
      <c r="I224" s="74"/>
      <c r="J224" s="75"/>
    </row>
    <row r="225" spans="1:10" ht="30" outlineLevel="2" x14ac:dyDescent="0.25">
      <c r="A225" s="67" t="s">
        <v>1</v>
      </c>
      <c r="B225" s="101">
        <v>12</v>
      </c>
      <c r="C225" s="69"/>
      <c r="D225" s="77" t="s">
        <v>240</v>
      </c>
      <c r="E225" s="108">
        <v>7</v>
      </c>
      <c r="F225" s="78" t="s">
        <v>92</v>
      </c>
      <c r="G225" s="83"/>
      <c r="H225" s="73">
        <f t="shared" ref="H225" si="48">E225*G225</f>
        <v>0</v>
      </c>
      <c r="I225" s="74"/>
      <c r="J225" s="75"/>
    </row>
    <row r="226" spans="1:10" ht="15.75" outlineLevel="1" thickBot="1" x14ac:dyDescent="0.3">
      <c r="A226" s="55"/>
      <c r="B226" s="56" t="s">
        <v>17</v>
      </c>
      <c r="C226" s="57"/>
      <c r="D226" s="57"/>
      <c r="E226" s="58"/>
      <c r="F226" s="59"/>
      <c r="G226" s="60"/>
      <c r="H226" s="61"/>
      <c r="I226" s="62">
        <f>SUM(H213:H226)</f>
        <v>0</v>
      </c>
      <c r="J226" s="84"/>
    </row>
    <row r="227" spans="1:10" ht="15.75" outlineLevel="1" thickTop="1" x14ac:dyDescent="0.25">
      <c r="A227" s="22"/>
      <c r="C227" s="23"/>
      <c r="D227" s="23"/>
      <c r="H227" s="65"/>
      <c r="I227" s="27"/>
      <c r="J227" s="66"/>
    </row>
    <row r="228" spans="1:10" outlineLevel="1" x14ac:dyDescent="0.25">
      <c r="A228" s="45"/>
      <c r="B228" s="46" t="s">
        <v>149</v>
      </c>
      <c r="C228" s="47"/>
      <c r="D228" s="48" t="s">
        <v>134</v>
      </c>
      <c r="E228" s="49"/>
      <c r="F228" s="50"/>
      <c r="G228" s="51"/>
      <c r="H228" s="52"/>
      <c r="I228" s="53"/>
      <c r="J228" s="54"/>
    </row>
    <row r="229" spans="1:10" outlineLevel="2" x14ac:dyDescent="0.25">
      <c r="A229" s="67" t="s">
        <v>1</v>
      </c>
      <c r="B229" s="101">
        <v>1</v>
      </c>
      <c r="C229" s="69"/>
      <c r="D229" s="80" t="s">
        <v>120</v>
      </c>
      <c r="E229" s="71"/>
      <c r="F229" s="71"/>
      <c r="G229" s="71"/>
      <c r="H229" s="71"/>
      <c r="I229" s="74"/>
      <c r="J229" s="71"/>
    </row>
    <row r="230" spans="1:10" outlineLevel="2" x14ac:dyDescent="0.25">
      <c r="A230" s="67" t="s">
        <v>1</v>
      </c>
      <c r="B230" s="101">
        <v>2</v>
      </c>
      <c r="C230" s="69"/>
      <c r="D230" s="77" t="s">
        <v>136</v>
      </c>
      <c r="E230" s="108">
        <v>8</v>
      </c>
      <c r="F230" s="78" t="s">
        <v>79</v>
      </c>
      <c r="G230" s="83"/>
      <c r="H230" s="73">
        <f t="shared" ref="H230:H233" si="49">E230*G230</f>
        <v>0</v>
      </c>
      <c r="I230" s="74"/>
      <c r="J230" s="75"/>
    </row>
    <row r="231" spans="1:10" ht="30" outlineLevel="2" x14ac:dyDescent="0.25">
      <c r="A231" s="67" t="s">
        <v>1</v>
      </c>
      <c r="B231" s="101">
        <v>3</v>
      </c>
      <c r="C231" s="69"/>
      <c r="D231" s="77" t="s">
        <v>132</v>
      </c>
      <c r="E231" s="108">
        <v>2</v>
      </c>
      <c r="F231" s="78" t="s">
        <v>79</v>
      </c>
      <c r="G231" s="83"/>
      <c r="H231" s="73">
        <f t="shared" si="49"/>
        <v>0</v>
      </c>
      <c r="I231" s="74"/>
      <c r="J231" s="75"/>
    </row>
    <row r="232" spans="1:10" outlineLevel="2" x14ac:dyDescent="0.25">
      <c r="A232" s="67" t="s">
        <v>1</v>
      </c>
      <c r="B232" s="101">
        <v>4</v>
      </c>
      <c r="C232" s="69"/>
      <c r="D232" s="77" t="s">
        <v>137</v>
      </c>
      <c r="E232" s="108">
        <v>9</v>
      </c>
      <c r="F232" s="78" t="s">
        <v>79</v>
      </c>
      <c r="G232" s="83"/>
      <c r="H232" s="73">
        <f t="shared" si="49"/>
        <v>0</v>
      </c>
      <c r="I232" s="74"/>
      <c r="J232" s="75"/>
    </row>
    <row r="233" spans="1:10" outlineLevel="2" x14ac:dyDescent="0.25">
      <c r="A233" s="67" t="s">
        <v>1</v>
      </c>
      <c r="B233" s="101">
        <v>5</v>
      </c>
      <c r="C233" s="69"/>
      <c r="D233" s="77" t="s">
        <v>243</v>
      </c>
      <c r="E233" s="108">
        <v>1</v>
      </c>
      <c r="F233" s="78" t="s">
        <v>79</v>
      </c>
      <c r="G233" s="83"/>
      <c r="H233" s="73">
        <f t="shared" si="49"/>
        <v>0</v>
      </c>
      <c r="I233" s="74"/>
      <c r="J233" s="75"/>
    </row>
    <row r="234" spans="1:10" outlineLevel="2" x14ac:dyDescent="0.25">
      <c r="A234" s="67" t="s">
        <v>1</v>
      </c>
      <c r="B234" s="101">
        <v>6</v>
      </c>
      <c r="C234" s="69"/>
      <c r="D234" s="80" t="s">
        <v>135</v>
      </c>
      <c r="E234" s="108"/>
      <c r="F234" s="71"/>
      <c r="G234" s="71"/>
      <c r="H234" s="71"/>
      <c r="I234" s="74"/>
      <c r="J234" s="71"/>
    </row>
    <row r="235" spans="1:10" ht="30" outlineLevel="2" x14ac:dyDescent="0.25">
      <c r="A235" s="67" t="s">
        <v>1</v>
      </c>
      <c r="B235" s="101">
        <v>7</v>
      </c>
      <c r="C235" s="69"/>
      <c r="D235" s="77" t="s">
        <v>244</v>
      </c>
      <c r="E235" s="108">
        <v>2</v>
      </c>
      <c r="F235" s="78" t="s">
        <v>79</v>
      </c>
      <c r="G235" s="83"/>
      <c r="H235" s="73">
        <f t="shared" ref="H235:H236" si="50">E235*G235</f>
        <v>0</v>
      </c>
      <c r="I235" s="74"/>
      <c r="J235" s="75"/>
    </row>
    <row r="236" spans="1:10" ht="30" outlineLevel="2" x14ac:dyDescent="0.25">
      <c r="A236" s="67" t="s">
        <v>1</v>
      </c>
      <c r="B236" s="101">
        <v>8</v>
      </c>
      <c r="C236" s="69"/>
      <c r="D236" s="77" t="s">
        <v>240</v>
      </c>
      <c r="E236" s="108">
        <v>1</v>
      </c>
      <c r="F236" s="78" t="s">
        <v>79</v>
      </c>
      <c r="G236" s="83"/>
      <c r="H236" s="73">
        <f t="shared" si="50"/>
        <v>0</v>
      </c>
      <c r="I236" s="74"/>
      <c r="J236" s="75"/>
    </row>
    <row r="237" spans="1:10" ht="15.75" outlineLevel="1" thickBot="1" x14ac:dyDescent="0.3">
      <c r="A237" s="55"/>
      <c r="B237" s="56" t="s">
        <v>17</v>
      </c>
      <c r="C237" s="57"/>
      <c r="D237" s="57"/>
      <c r="E237" s="58"/>
      <c r="F237" s="59"/>
      <c r="G237" s="60"/>
      <c r="H237" s="61"/>
      <c r="I237" s="62">
        <f>SUM(H228:H237)</f>
        <v>0</v>
      </c>
      <c r="J237" s="84"/>
    </row>
    <row r="238" spans="1:10" ht="15.75" outlineLevel="1" thickTop="1" x14ac:dyDescent="0.25">
      <c r="A238" s="22"/>
      <c r="C238" s="23"/>
      <c r="D238" s="23"/>
      <c r="H238" s="65"/>
      <c r="I238" s="27"/>
      <c r="J238" s="66"/>
    </row>
    <row r="239" spans="1:10" outlineLevel="1" x14ac:dyDescent="0.25">
      <c r="A239" s="45"/>
      <c r="B239" s="46" t="s">
        <v>68</v>
      </c>
      <c r="C239" s="47"/>
      <c r="D239" s="48" t="s">
        <v>101</v>
      </c>
      <c r="E239" s="49"/>
      <c r="F239" s="50"/>
      <c r="G239" s="51"/>
      <c r="H239" s="52"/>
      <c r="I239" s="53"/>
      <c r="J239" s="54"/>
    </row>
    <row r="240" spans="1:10" outlineLevel="2" x14ac:dyDescent="0.25">
      <c r="A240" s="67" t="s">
        <v>1</v>
      </c>
      <c r="B240" s="101">
        <v>1</v>
      </c>
      <c r="C240" s="69"/>
      <c r="D240" s="77" t="s">
        <v>81</v>
      </c>
      <c r="E240" s="71">
        <v>48</v>
      </c>
      <c r="F240" s="78" t="s">
        <v>95</v>
      </c>
      <c r="G240" s="83"/>
      <c r="H240" s="73">
        <f t="shared" ref="H240:H244" si="51">E240*G240</f>
        <v>0</v>
      </c>
      <c r="I240" s="74"/>
      <c r="J240" s="75"/>
    </row>
    <row r="241" spans="1:10" outlineLevel="2" x14ac:dyDescent="0.25">
      <c r="A241" s="67" t="s">
        <v>1</v>
      </c>
      <c r="B241" s="101">
        <v>2</v>
      </c>
      <c r="C241" s="69"/>
      <c r="D241" s="77" t="s">
        <v>82</v>
      </c>
      <c r="E241" s="71">
        <v>144</v>
      </c>
      <c r="F241" s="78" t="s">
        <v>78</v>
      </c>
      <c r="G241" s="83"/>
      <c r="H241" s="73">
        <v>0</v>
      </c>
      <c r="I241" s="74"/>
      <c r="J241" s="75"/>
    </row>
    <row r="242" spans="1:10" ht="30" outlineLevel="2" x14ac:dyDescent="0.25">
      <c r="A242" s="67" t="s">
        <v>1</v>
      </c>
      <c r="B242" s="101">
        <v>3</v>
      </c>
      <c r="C242" s="69"/>
      <c r="D242" s="77" t="s">
        <v>209</v>
      </c>
      <c r="E242" s="71">
        <v>1</v>
      </c>
      <c r="F242" s="78" t="s">
        <v>77</v>
      </c>
      <c r="G242" s="103"/>
      <c r="H242" s="73">
        <f>E242*G242</f>
        <v>0</v>
      </c>
      <c r="I242" s="74"/>
      <c r="J242" s="75"/>
    </row>
    <row r="243" spans="1:10" outlineLevel="2" x14ac:dyDescent="0.25">
      <c r="A243" s="67" t="s">
        <v>1</v>
      </c>
      <c r="B243" s="101">
        <v>4</v>
      </c>
      <c r="C243" s="69"/>
      <c r="D243" s="77" t="s">
        <v>121</v>
      </c>
      <c r="E243" s="71">
        <v>94</v>
      </c>
      <c r="F243" s="78" t="s">
        <v>95</v>
      </c>
      <c r="G243" s="83"/>
      <c r="H243" s="73">
        <f>E243*G243</f>
        <v>0</v>
      </c>
      <c r="I243" s="74"/>
      <c r="J243" s="75"/>
    </row>
    <row r="244" spans="1:10" outlineLevel="2" x14ac:dyDescent="0.25">
      <c r="A244" s="67" t="s">
        <v>1</v>
      </c>
      <c r="B244" s="101">
        <v>5</v>
      </c>
      <c r="C244" s="69" t="s">
        <v>77</v>
      </c>
      <c r="D244" s="77" t="s">
        <v>208</v>
      </c>
      <c r="E244" s="71">
        <v>1</v>
      </c>
      <c r="F244" s="78" t="s">
        <v>77</v>
      </c>
      <c r="G244" s="83"/>
      <c r="H244" s="73">
        <f t="shared" si="51"/>
        <v>0</v>
      </c>
      <c r="I244" s="74"/>
      <c r="J244" s="75"/>
    </row>
    <row r="245" spans="1:10" ht="15.75" outlineLevel="1" thickBot="1" x14ac:dyDescent="0.3">
      <c r="A245" s="55"/>
      <c r="B245" s="56" t="s">
        <v>17</v>
      </c>
      <c r="C245" s="57"/>
      <c r="D245" s="57"/>
      <c r="E245" s="58"/>
      <c r="F245" s="59"/>
      <c r="G245" s="60"/>
      <c r="H245" s="61"/>
      <c r="I245" s="62">
        <f>SUM(H239:H245)</f>
        <v>0</v>
      </c>
      <c r="J245" s="63"/>
    </row>
    <row r="246" spans="1:10" ht="15.75" outlineLevel="1" thickTop="1" x14ac:dyDescent="0.25">
      <c r="A246" s="22"/>
      <c r="C246" s="23"/>
      <c r="D246" s="23"/>
      <c r="H246" s="65"/>
      <c r="I246" s="27"/>
      <c r="J246" s="66"/>
    </row>
    <row r="247" spans="1:10" x14ac:dyDescent="0.25">
      <c r="A247" s="36"/>
      <c r="B247" s="37" t="s">
        <v>69</v>
      </c>
      <c r="C247" s="38"/>
      <c r="D247" s="38"/>
      <c r="E247" s="39"/>
      <c r="F247" s="40"/>
      <c r="G247" s="41"/>
      <c r="H247" s="42"/>
      <c r="I247" s="43"/>
      <c r="J247" s="44"/>
    </row>
    <row r="248" spans="1:10" outlineLevel="1" x14ac:dyDescent="0.25">
      <c r="A248" s="45"/>
      <c r="B248" s="46" t="s">
        <v>70</v>
      </c>
      <c r="C248" s="47"/>
      <c r="D248" s="48" t="s">
        <v>123</v>
      </c>
      <c r="E248" s="49"/>
      <c r="F248" s="50"/>
      <c r="G248" s="51"/>
      <c r="H248" s="52"/>
      <c r="I248" s="53"/>
      <c r="J248" s="54"/>
    </row>
    <row r="249" spans="1:10" outlineLevel="2" x14ac:dyDescent="0.25">
      <c r="A249" s="67" t="s">
        <v>3</v>
      </c>
      <c r="B249" s="101">
        <v>1</v>
      </c>
      <c r="C249" s="69"/>
      <c r="D249" s="77" t="s">
        <v>124</v>
      </c>
      <c r="E249" s="71">
        <v>1</v>
      </c>
      <c r="F249" s="78" t="s">
        <v>77</v>
      </c>
      <c r="G249" s="103"/>
      <c r="H249" s="73"/>
      <c r="I249" s="74"/>
      <c r="J249" s="75"/>
    </row>
    <row r="250" spans="1:10" ht="15.75" outlineLevel="1" thickBot="1" x14ac:dyDescent="0.3">
      <c r="A250" s="55"/>
      <c r="B250" s="56" t="s">
        <v>17</v>
      </c>
      <c r="C250" s="57"/>
      <c r="D250" s="57"/>
      <c r="E250" s="58"/>
      <c r="F250" s="59"/>
      <c r="G250" s="60"/>
      <c r="H250" s="61"/>
      <c r="I250" s="62">
        <f>SUM(H248:H250)</f>
        <v>0</v>
      </c>
      <c r="J250" s="84"/>
    </row>
    <row r="251" spans="1:10" ht="15.75" outlineLevel="1" thickTop="1" x14ac:dyDescent="0.25">
      <c r="A251" s="22"/>
      <c r="C251" s="23"/>
      <c r="D251" s="23"/>
      <c r="H251" s="65"/>
      <c r="I251" s="27"/>
      <c r="J251" s="28"/>
    </row>
    <row r="252" spans="1:10" x14ac:dyDescent="0.25">
      <c r="A252" s="36"/>
      <c r="B252" s="37" t="s">
        <v>71</v>
      </c>
      <c r="C252" s="38"/>
      <c r="D252" s="38"/>
      <c r="E252" s="39"/>
      <c r="F252" s="40"/>
      <c r="G252" s="41"/>
      <c r="H252" s="42"/>
      <c r="I252" s="43"/>
      <c r="J252" s="44"/>
    </row>
    <row r="253" spans="1:10" outlineLevel="1" x14ac:dyDescent="0.25">
      <c r="A253" s="45"/>
      <c r="B253" s="46" t="s">
        <v>72</v>
      </c>
      <c r="C253" s="47"/>
      <c r="D253" s="48" t="s">
        <v>83</v>
      </c>
      <c r="E253" s="49"/>
      <c r="F253" s="50"/>
      <c r="G253" s="51"/>
      <c r="H253" s="52"/>
      <c r="I253" s="53"/>
      <c r="J253" s="54"/>
    </row>
    <row r="254" spans="1:10" outlineLevel="2" x14ac:dyDescent="0.25">
      <c r="A254" s="67" t="s">
        <v>23</v>
      </c>
      <c r="B254" s="101">
        <v>1</v>
      </c>
      <c r="C254" s="69"/>
      <c r="D254" s="77" t="s">
        <v>247</v>
      </c>
      <c r="E254" s="71">
        <v>79185</v>
      </c>
      <c r="F254" s="78" t="s">
        <v>78</v>
      </c>
      <c r="G254" s="103"/>
      <c r="H254" s="73">
        <f t="shared" ref="H254" si="52">E254*G254</f>
        <v>0</v>
      </c>
      <c r="I254" s="74"/>
      <c r="J254" s="75"/>
    </row>
    <row r="255" spans="1:10" ht="30" outlineLevel="2" x14ac:dyDescent="0.25">
      <c r="A255" s="67" t="s">
        <v>23</v>
      </c>
      <c r="B255" s="101">
        <v>2</v>
      </c>
      <c r="C255" s="69"/>
      <c r="D255" s="77" t="s">
        <v>164</v>
      </c>
      <c r="E255" s="71">
        <v>79185</v>
      </c>
      <c r="F255" s="78" t="s">
        <v>78</v>
      </c>
      <c r="G255" s="103"/>
      <c r="H255" s="73"/>
      <c r="I255" s="74"/>
      <c r="J255" s="75"/>
    </row>
    <row r="256" spans="1:10" ht="15.75" outlineLevel="1" thickBot="1" x14ac:dyDescent="0.3">
      <c r="A256" s="55"/>
      <c r="B256" s="56" t="s">
        <v>17</v>
      </c>
      <c r="C256" s="57"/>
      <c r="D256" s="57"/>
      <c r="E256" s="58"/>
      <c r="F256" s="59"/>
      <c r="G256" s="60"/>
      <c r="H256" s="61"/>
      <c r="I256" s="62">
        <f>SUM(H253:H256)</f>
        <v>0</v>
      </c>
      <c r="J256" s="84"/>
    </row>
    <row r="257" spans="1:58" ht="15.75" thickTop="1" x14ac:dyDescent="0.25"/>
    <row r="258" spans="1:58" outlineLevel="1" x14ac:dyDescent="0.25">
      <c r="A258" s="45"/>
      <c r="B258" s="46" t="s">
        <v>73</v>
      </c>
      <c r="C258" s="47"/>
      <c r="D258" s="48" t="s">
        <v>74</v>
      </c>
      <c r="E258" s="49"/>
      <c r="F258" s="50"/>
      <c r="G258" s="51"/>
      <c r="H258" s="52"/>
      <c r="I258" s="53"/>
      <c r="J258" s="54"/>
    </row>
    <row r="259" spans="1:58" outlineLevel="2" x14ac:dyDescent="0.25">
      <c r="A259" s="67" t="s">
        <v>23</v>
      </c>
      <c r="B259" s="101">
        <v>1</v>
      </c>
      <c r="C259" s="69" t="s">
        <v>77</v>
      </c>
      <c r="D259" s="77" t="s">
        <v>245</v>
      </c>
      <c r="E259" s="71">
        <v>5</v>
      </c>
      <c r="F259" s="78" t="s">
        <v>79</v>
      </c>
      <c r="G259" s="83"/>
      <c r="H259" s="73">
        <f t="shared" ref="H259:H260" si="53">E259*G259</f>
        <v>0</v>
      </c>
      <c r="I259" s="74"/>
      <c r="J259" s="75"/>
    </row>
    <row r="260" spans="1:58" ht="30" outlineLevel="2" x14ac:dyDescent="0.25">
      <c r="A260" s="67" t="s">
        <v>23</v>
      </c>
      <c r="B260" s="101">
        <v>2</v>
      </c>
      <c r="C260" s="69"/>
      <c r="D260" s="77" t="s">
        <v>80</v>
      </c>
      <c r="E260" s="71">
        <v>1</v>
      </c>
      <c r="F260" s="78" t="s">
        <v>77</v>
      </c>
      <c r="G260" s="83"/>
      <c r="H260" s="73">
        <f t="shared" si="53"/>
        <v>0</v>
      </c>
      <c r="I260" s="74"/>
      <c r="J260" s="75"/>
    </row>
    <row r="261" spans="1:58" ht="15.75" outlineLevel="1" thickBot="1" x14ac:dyDescent="0.3">
      <c r="A261" s="55"/>
      <c r="B261" s="56" t="s">
        <v>17</v>
      </c>
      <c r="C261" s="57"/>
      <c r="D261" s="57"/>
      <c r="E261" s="58"/>
      <c r="F261" s="59"/>
      <c r="G261" s="60"/>
      <c r="H261" s="61"/>
      <c r="I261" s="62">
        <f>SUM(H258:H261)</f>
        <v>0</v>
      </c>
      <c r="J261" s="63"/>
    </row>
    <row r="262" spans="1:58" ht="15.75" outlineLevel="1" thickTop="1" x14ac:dyDescent="0.25">
      <c r="A262" s="22"/>
      <c r="B262" s="92"/>
      <c r="C262" s="23"/>
      <c r="D262" s="23"/>
      <c r="H262" s="65"/>
      <c r="I262" s="27"/>
      <c r="J262" s="28"/>
    </row>
    <row r="263" spans="1:58" x14ac:dyDescent="0.25">
      <c r="E263" s="104"/>
      <c r="G263" s="25"/>
      <c r="H263" s="105"/>
      <c r="I263" s="106"/>
      <c r="J263" s="107"/>
    </row>
    <row r="264" spans="1:58" s="107" customFormat="1" x14ac:dyDescent="0.25">
      <c r="A264" s="91"/>
      <c r="B264" s="22"/>
      <c r="C264" s="4"/>
      <c r="D264" s="4"/>
      <c r="E264" s="104"/>
      <c r="F264" s="22"/>
      <c r="G264" s="25"/>
      <c r="H264" s="105"/>
      <c r="I264" s="106"/>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row>
    <row r="265" spans="1:58" s="107" customFormat="1" x14ac:dyDescent="0.25">
      <c r="A265" s="91"/>
      <c r="B265" s="22"/>
      <c r="C265" s="4"/>
      <c r="D265" s="4"/>
      <c r="E265" s="104"/>
      <c r="F265" s="22"/>
      <c r="G265" s="25"/>
      <c r="H265" s="105"/>
      <c r="I265" s="106"/>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row>
    <row r="266" spans="1:58" s="107" customFormat="1" x14ac:dyDescent="0.25">
      <c r="A266" s="91"/>
      <c r="B266" s="22"/>
      <c r="C266" s="4"/>
      <c r="D266" s="4"/>
      <c r="E266" s="104"/>
      <c r="F266" s="22"/>
      <c r="G266" s="25"/>
      <c r="H266" s="105"/>
      <c r="I266" s="106"/>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row>
    <row r="267" spans="1:58" s="107" customFormat="1" x14ac:dyDescent="0.25">
      <c r="A267" s="91"/>
      <c r="B267" s="22"/>
      <c r="C267" s="4"/>
      <c r="D267" s="4"/>
      <c r="E267" s="104"/>
      <c r="F267" s="22"/>
      <c r="G267" s="25"/>
      <c r="H267" s="105"/>
      <c r="I267" s="106"/>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row>
    <row r="268" spans="1:58" x14ac:dyDescent="0.25">
      <c r="E268" s="104"/>
      <c r="G268" s="25"/>
      <c r="H268" s="105"/>
      <c r="I268" s="106"/>
      <c r="J268" s="107"/>
    </row>
    <row r="269" spans="1:58" x14ac:dyDescent="0.25">
      <c r="E269" s="104"/>
      <c r="G269" s="25"/>
      <c r="H269" s="105"/>
      <c r="I269" s="106"/>
      <c r="J269" s="107"/>
    </row>
    <row r="270" spans="1:58" x14ac:dyDescent="0.25">
      <c r="E270" s="104"/>
      <c r="G270" s="25"/>
      <c r="H270" s="105"/>
      <c r="I270" s="106"/>
      <c r="J270" s="107"/>
    </row>
    <row r="271" spans="1:58" x14ac:dyDescent="0.25">
      <c r="E271" s="104"/>
      <c r="G271" s="25"/>
      <c r="H271" s="105"/>
      <c r="I271" s="106"/>
      <c r="J271" s="107"/>
    </row>
    <row r="272" spans="1:58" x14ac:dyDescent="0.25">
      <c r="E272" s="104"/>
      <c r="G272" s="25"/>
      <c r="H272" s="105"/>
      <c r="I272" s="106"/>
      <c r="J272" s="107"/>
    </row>
    <row r="273" spans="5:10" x14ac:dyDescent="0.25">
      <c r="E273" s="104"/>
      <c r="G273" s="25"/>
      <c r="H273" s="105"/>
      <c r="I273" s="106"/>
      <c r="J273" s="107"/>
    </row>
    <row r="274" spans="5:10" x14ac:dyDescent="0.25">
      <c r="E274" s="104"/>
      <c r="G274" s="25"/>
      <c r="H274" s="105"/>
      <c r="I274" s="106"/>
      <c r="J274" s="107"/>
    </row>
    <row r="275" spans="5:10" x14ac:dyDescent="0.25">
      <c r="E275" s="104"/>
      <c r="G275" s="25"/>
      <c r="H275" s="105"/>
      <c r="I275" s="106"/>
      <c r="J275" s="107"/>
    </row>
    <row r="276" spans="5:10" x14ac:dyDescent="0.25">
      <c r="E276" s="104"/>
      <c r="G276" s="25"/>
      <c r="H276" s="105"/>
      <c r="I276" s="106"/>
      <c r="J276" s="107"/>
    </row>
    <row r="277" spans="5:10" x14ac:dyDescent="0.25">
      <c r="E277" s="104"/>
      <c r="G277" s="25"/>
      <c r="H277" s="105"/>
      <c r="I277" s="106"/>
      <c r="J277" s="107"/>
    </row>
  </sheetData>
  <autoFilter ref="A9:J262" xr:uid="{9208F4DF-CF31-487D-96AD-EBA4B6736969}"/>
  <printOptions horizontalCentered="1"/>
  <pageMargins left="0.25" right="0.25" top="0.75" bottom="0.75" header="0.3" footer="0.3"/>
  <pageSetup paperSize="3" scale="65" fitToHeight="0" orientation="landscape" r:id="rId1"/>
  <headerFooter>
    <oddFooter>&amp;L&amp;F
&amp;A&amp;C&amp;P of &amp;N&amp;R&amp;D</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DE707D58F266C488AEE887DE02C2CAB" ma:contentTypeVersion="19" ma:contentTypeDescription="Create a new document." ma:contentTypeScope="" ma:versionID="43612acd8359c3b6a626e5f0f7c0790c">
  <xsd:schema xmlns:xsd="http://www.w3.org/2001/XMLSchema" xmlns:xs="http://www.w3.org/2001/XMLSchema" xmlns:p="http://schemas.microsoft.com/office/2006/metadata/properties" xmlns:ns2="7eeb3630-a17c-4126-9dcb-c1fbb625dd0a" xmlns:ns3="c21e4e94-ccea-47de-a818-2564230cdcc3" targetNamespace="http://schemas.microsoft.com/office/2006/metadata/properties" ma:root="true" ma:fieldsID="5827b27e9d693d0db24516ca34d312fe" ns2:_="" ns3:_="">
    <xsd:import namespace="7eeb3630-a17c-4126-9dcb-c1fbb625dd0a"/>
    <xsd:import namespace="c21e4e94-ccea-47de-a818-2564230cdc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OCR"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eb3630-a17c-4126-9dcb-c1fbb625dd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84e9849-06da-443c-b6f6-e58c8f143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1e4e94-ccea-47de-a818-2564230cdcc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fe57234-776e-4e5a-a8a9-81343bfb4c99}" ma:internalName="TaxCatchAll" ma:showField="CatchAllData" ma:web="c21e4e94-ccea-47de-a818-2564230cdc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eeb3630-a17c-4126-9dcb-c1fbb625dd0a">
      <Terms xmlns="http://schemas.microsoft.com/office/infopath/2007/PartnerControls"/>
    </lcf76f155ced4ddcb4097134ff3c332f>
    <TaxCatchAll xmlns="c21e4e94-ccea-47de-a818-2564230cdc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EF1E8DBD-967F-4942-BD21-2B1D8082B2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eb3630-a17c-4126-9dcb-c1fbb625dd0a"/>
    <ds:schemaRef ds:uri="c21e4e94-ccea-47de-a818-2564230cdc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872C42-F4E4-43BA-B60C-D244EBCEF8BD}">
  <ds:schemaRefs>
    <ds:schemaRef ds:uri="http://schemas.microsoft.com/office/2006/metadata/properties"/>
    <ds:schemaRef ds:uri="http://schemas.microsoft.com/office/infopath/2007/PartnerControls"/>
    <ds:schemaRef ds:uri="f6b2a1be-b868-4ce4-85a6-e1e5ade3df66"/>
    <ds:schemaRef ds:uri="3283a77d-e3cc-42bc-8216-d206a4515ca2"/>
    <ds:schemaRef ds:uri="7eeb3630-a17c-4126-9dcb-c1fbb625dd0a"/>
    <ds:schemaRef ds:uri="c21e4e94-ccea-47de-a818-2564230cdcc3"/>
  </ds:schemaRefs>
</ds:datastoreItem>
</file>

<file path=customXml/itemProps3.xml><?xml version="1.0" encoding="utf-8"?>
<ds:datastoreItem xmlns:ds="http://schemas.openxmlformats.org/officeDocument/2006/customXml" ds:itemID="{22AD4C4D-C90F-4225-BADA-84851418D562}">
  <ds:schemaRefs>
    <ds:schemaRef ds:uri="http://schemas.microsoft.com/sharepoint/v3/contenttype/forms"/>
  </ds:schemaRefs>
</ds:datastoreItem>
</file>

<file path=customXml/itemProps4.xml><?xml version="1.0" encoding="utf-8"?>
<ds:datastoreItem xmlns:ds="http://schemas.openxmlformats.org/officeDocument/2006/customXml" ds:itemID="{C922C1C6-3753-470D-9EE1-036076D23DC9}">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MLTA</vt:lpstr>
      <vt:lpstr>MLTA!Print_Area</vt:lpstr>
      <vt:lpstr>MLTA!Print_Titles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Brandt Germann</dc:creator>
  <cp:lastModifiedBy>Matt Nicosia</cp:lastModifiedBy>
  <dcterms:created xsi:type="dcterms:W3CDTF">2025-05-21T18:36:18Z</dcterms:created>
  <dcterms:modified xsi:type="dcterms:W3CDTF">2025-06-13T13:20:53Z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0x0101009DE707D58F266C488AEE887DE02C2CAB</vt:lpwstr>
  </property>
  <property fmtid="{D5CDD505-2E9C-101B-9397-08002B2CF9AE}" pid="3" name="MediaServiceImageTags">
    <vt:lpwstr/>
  </property>
  <property fmtid="{D5CDD505-2E9C-101B-9397-08002B2CF9AE}" pid="4" name="PlanSwiftJobName">
    <vt:lpwstr/>
  </property>
  <property fmtid="{D5CDD505-2E9C-101B-9397-08002B2CF9AE}" pid="5" name="PlanSwiftJobGuid">
    <vt:lpwstr/>
  </property>
  <property fmtid="{D5CDD505-2E9C-101B-9397-08002B2CF9AE}" pid="6" name="LinkedDataId">
    <vt:lpwstr>{C922C1C6-3753-470D-9EE1-036076D23DC9}</vt:lpwstr>
  </property>
</Properties>
</file>