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ette\Downloads\"/>
    </mc:Choice>
  </mc:AlternateContent>
  <xr:revisionPtr revIDLastSave="0" documentId="13_ncr:1_{2BBAEEB3-466E-4294-B198-FA5119B0F1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ewor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1" l="1"/>
  <c r="F22" i="1"/>
  <c r="F14" i="1"/>
  <c r="F49" i="1"/>
  <c r="F41" i="1"/>
  <c r="F5" i="1"/>
</calcChain>
</file>

<file path=xl/sharedStrings.xml><?xml version="1.0" encoding="utf-8"?>
<sst xmlns="http://schemas.openxmlformats.org/spreadsheetml/2006/main" count="131" uniqueCount="65">
  <si>
    <t>A) Site Prep &amp; Transplanting</t>
  </si>
  <si>
    <t>DD Landscape</t>
  </si>
  <si>
    <t>#</t>
  </si>
  <si>
    <t>Description</t>
  </si>
  <si>
    <t>Qty</t>
  </si>
  <si>
    <t>Unit</t>
  </si>
  <si>
    <t>Type</t>
  </si>
  <si>
    <t>Tree and Stump Removal</t>
  </si>
  <si>
    <t>Allowance</t>
  </si>
  <si>
    <t>Fire Pit Material Salvage and Storage</t>
  </si>
  <si>
    <t>A) Site Prep &amp; Transplanting Sub-total</t>
  </si>
  <si>
    <t>B) Sitework and Drainage</t>
  </si>
  <si>
    <t>Excavation and Backfill for walls and stairs</t>
  </si>
  <si>
    <t>Crushed Stone</t>
  </si>
  <si>
    <t>Trenching for utilities</t>
  </si>
  <si>
    <t>Storm Water Protection Plan</t>
  </si>
  <si>
    <t>Footing drain</t>
  </si>
  <si>
    <t>B) Sitework and Drainage Sub-total</t>
  </si>
  <si>
    <t>B) Grading &amp; Drainage</t>
  </si>
  <si>
    <t>Sub-soiling of all lawn and planting areas</t>
  </si>
  <si>
    <t>Provide and Place Imported Clean Sandy Fill for planting areas</t>
  </si>
  <si>
    <t>Provide and Place Imported Planting Mix and Topsoil</t>
  </si>
  <si>
    <t>3" layer of mulch in all planting beds</t>
  </si>
  <si>
    <t>CUYDS</t>
  </si>
  <si>
    <t>B) Grading &amp; Drainage Sub-total</t>
  </si>
  <si>
    <t>C) Site Masonry</t>
  </si>
  <si>
    <t>Gravel Driveway</t>
  </si>
  <si>
    <t>SQFT</t>
  </si>
  <si>
    <t>Terrace Excavation and Backfill</t>
  </si>
  <si>
    <t>8' x 14' Hot dipped galvanized steel deer grate panel</t>
  </si>
  <si>
    <t>Deer Grate Clean Out Port</t>
  </si>
  <si>
    <t>Concrete Footing for Deer Grate</t>
  </si>
  <si>
    <t>Deer Grate Excavation, Culvert, Backfill</t>
  </si>
  <si>
    <t>Board form concrete retaining walls at rear terrace/basement walkout with footing</t>
  </si>
  <si>
    <t>LF</t>
  </si>
  <si>
    <t>Entry Garden Board Form Concrete Retaining Wall with footing</t>
  </si>
  <si>
    <t>Deer Fence Concrete Retaining Wall</t>
  </si>
  <si>
    <t>Footing for Monolithic Bluestone Step at Front Walkway</t>
  </si>
  <si>
    <t>Concrete pumps</t>
  </si>
  <si>
    <t>Bluestone stair treads</t>
  </si>
  <si>
    <t>Bluestone pavers at basement walkout</t>
  </si>
  <si>
    <t>Bluestone pavers at entrance</t>
  </si>
  <si>
    <t>Bluestone pavers at side patio</t>
  </si>
  <si>
    <t>C) Site Masonry Sub-total</t>
  </si>
  <si>
    <t>D) Landscape Lighting / Electrical</t>
  </si>
  <si>
    <t>Direct Burial Transformers and Pull Box Locations</t>
  </si>
  <si>
    <t>Ea</t>
  </si>
  <si>
    <t>Pathlight fixtures including low voltage wiring</t>
  </si>
  <si>
    <t>Tree downlight fixtures including low voltage wiring (Zen Garden)</t>
  </si>
  <si>
    <t>Conduit for future internet and electric</t>
  </si>
  <si>
    <t>D) Landscape Lighting / Electrical Sub-total</t>
  </si>
  <si>
    <t>TOTALS</t>
  </si>
  <si>
    <t>COMPLETED</t>
  </si>
  <si>
    <t>PARAMOUNT</t>
  </si>
  <si>
    <t>WATERLINE/WELL/HVAC/HOUSE ELECTRIC</t>
  </si>
  <si>
    <t>HOUSE RELATED</t>
  </si>
  <si>
    <t>Drivway</t>
  </si>
  <si>
    <t>Eroison Control</t>
  </si>
  <si>
    <t>Patio</t>
  </si>
  <si>
    <t>Included</t>
  </si>
  <si>
    <t>yds</t>
  </si>
  <si>
    <t xml:space="preserve">INCLUDED IN PLANTING BED PRICING </t>
  </si>
  <si>
    <t>YDS</t>
  </si>
  <si>
    <t xml:space="preserve">ADJUSTED PRICE NOW INCLUDES CULVERT </t>
  </si>
  <si>
    <t>TOPDRESSING AND SEEDING AT END OF PROJECT (AS REQUESTED)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</si>
</sst>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164" fontId="0" fillId="0" borderId="0" xfId="0" applyNumberFormat="1"/>
    <xf numFmtId="164" fontId="1" fillId="0" borderId="4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left"/>
    </xf>
    <xf numFmtId="164" fontId="0" fillId="0" borderId="4" xfId="0" applyNumberFormat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 vertical="center"/>
    </xf>
    <xf numFmtId="0" fontId="2" fillId="4" borderId="0" xfId="0" applyFont="1" applyFill="1"/>
    <xf numFmtId="0" fontId="0" fillId="4" borderId="0" xfId="0" applyFill="1"/>
    <xf numFmtId="164" fontId="2" fillId="4" borderId="4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0" fillId="0" borderId="0" xfId="0" applyBorder="1"/>
    <xf numFmtId="164" fontId="1" fillId="0" borderId="0" xfId="0" applyNumberFormat="1" applyFont="1" applyBorder="1" applyAlignment="1">
      <alignment horizontal="center" vertical="center"/>
    </xf>
    <xf numFmtId="0" fontId="1" fillId="4" borderId="4" xfId="0" applyFont="1" applyFill="1" applyBorder="1" applyAlignment="1">
      <alignment horizontal="right"/>
    </xf>
    <xf numFmtId="164" fontId="1" fillId="4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19" zoomScaleNormal="100" workbookViewId="0">
      <selection activeCell="E51" sqref="E51"/>
    </sheetView>
  </sheetViews>
  <sheetFormatPr defaultRowHeight="15" x14ac:dyDescent="0.25"/>
  <cols>
    <col min="1" max="1" width="4" customWidth="1"/>
    <col min="2" max="2" width="60" customWidth="1"/>
    <col min="3" max="4" width="10" style="9" customWidth="1"/>
    <col min="5" max="5" width="14" style="9" customWidth="1"/>
    <col min="6" max="6" width="18" style="4" customWidth="1"/>
    <col min="7" max="7" width="38.28515625" customWidth="1"/>
  </cols>
  <sheetData>
    <row r="1" spans="1:7" x14ac:dyDescent="0.25">
      <c r="A1" s="19" t="s">
        <v>0</v>
      </c>
      <c r="B1" s="17"/>
      <c r="C1" s="17"/>
      <c r="D1" s="17"/>
      <c r="E1" s="17"/>
      <c r="F1" s="8"/>
    </row>
    <row r="2" spans="1:7" x14ac:dyDescent="0.25">
      <c r="A2" s="1" t="s">
        <v>2</v>
      </c>
      <c r="B2" s="2" t="s">
        <v>3</v>
      </c>
      <c r="C2" s="1" t="s">
        <v>4</v>
      </c>
      <c r="D2" s="1" t="s">
        <v>5</v>
      </c>
      <c r="E2" s="1" t="s">
        <v>6</v>
      </c>
      <c r="F2" s="7" t="s">
        <v>1</v>
      </c>
    </row>
    <row r="3" spans="1:7" x14ac:dyDescent="0.25">
      <c r="A3" s="3">
        <v>1</v>
      </c>
      <c r="B3" s="3" t="s">
        <v>7</v>
      </c>
      <c r="C3" s="10"/>
      <c r="D3" s="10"/>
      <c r="E3" s="10" t="s">
        <v>8</v>
      </c>
      <c r="F3" s="6" t="s">
        <v>52</v>
      </c>
    </row>
    <row r="4" spans="1:7" x14ac:dyDescent="0.25">
      <c r="A4" s="3">
        <v>2</v>
      </c>
      <c r="B4" s="3" t="s">
        <v>9</v>
      </c>
      <c r="C4" s="10"/>
      <c r="D4" s="10"/>
      <c r="E4" s="10" t="s">
        <v>8</v>
      </c>
      <c r="F4" s="6" t="s">
        <v>52</v>
      </c>
    </row>
    <row r="5" spans="1:7" x14ac:dyDescent="0.25">
      <c r="A5" s="16" t="s">
        <v>10</v>
      </c>
      <c r="B5" s="17"/>
      <c r="C5" s="17"/>
      <c r="D5" s="17"/>
      <c r="E5" s="18"/>
      <c r="F5" s="7">
        <f>SUM(F3:F4)</f>
        <v>0</v>
      </c>
    </row>
    <row r="6" spans="1:7" x14ac:dyDescent="0.25">
      <c r="F6" s="6"/>
    </row>
    <row r="7" spans="1:7" x14ac:dyDescent="0.25">
      <c r="A7" s="19" t="s">
        <v>11</v>
      </c>
      <c r="B7" s="17"/>
      <c r="C7" s="17"/>
      <c r="D7" s="17"/>
      <c r="E7" s="17"/>
      <c r="F7" s="8"/>
    </row>
    <row r="8" spans="1:7" x14ac:dyDescent="0.25">
      <c r="A8" s="1" t="s">
        <v>2</v>
      </c>
      <c r="B8" s="2" t="s">
        <v>3</v>
      </c>
      <c r="C8" s="1" t="s">
        <v>4</v>
      </c>
      <c r="D8" s="1" t="s">
        <v>5</v>
      </c>
      <c r="E8" s="1" t="s">
        <v>6</v>
      </c>
      <c r="F8" s="7" t="s">
        <v>1</v>
      </c>
    </row>
    <row r="9" spans="1:7" x14ac:dyDescent="0.25">
      <c r="A9" s="21">
        <v>1</v>
      </c>
      <c r="B9" s="21" t="s">
        <v>12</v>
      </c>
      <c r="C9" s="22"/>
      <c r="D9" s="22"/>
      <c r="E9" s="22" t="s">
        <v>8</v>
      </c>
      <c r="F9" s="23"/>
      <c r="G9" s="24" t="s">
        <v>61</v>
      </c>
    </row>
    <row r="10" spans="1:7" x14ac:dyDescent="0.25">
      <c r="A10" s="21">
        <v>2</v>
      </c>
      <c r="B10" s="21" t="s">
        <v>13</v>
      </c>
      <c r="C10" s="22">
        <v>10</v>
      </c>
      <c r="D10" s="22" t="s">
        <v>60</v>
      </c>
      <c r="E10" s="22" t="s">
        <v>8</v>
      </c>
      <c r="F10" s="23">
        <v>2250</v>
      </c>
      <c r="G10" t="s">
        <v>56</v>
      </c>
    </row>
    <row r="11" spans="1:7" x14ac:dyDescent="0.25">
      <c r="A11" s="3">
        <v>3</v>
      </c>
      <c r="B11" s="3" t="s">
        <v>14</v>
      </c>
      <c r="C11" s="10"/>
      <c r="D11" s="10"/>
      <c r="E11" s="10" t="s">
        <v>8</v>
      </c>
      <c r="F11" s="6" t="s">
        <v>53</v>
      </c>
      <c r="G11" t="s">
        <v>54</v>
      </c>
    </row>
    <row r="12" spans="1:7" x14ac:dyDescent="0.25">
      <c r="A12" s="3">
        <v>4</v>
      </c>
      <c r="B12" s="3" t="s">
        <v>15</v>
      </c>
      <c r="C12" s="10"/>
      <c r="D12" s="10"/>
      <c r="E12" s="10" t="s">
        <v>8</v>
      </c>
      <c r="F12" s="6"/>
      <c r="G12" t="s">
        <v>57</v>
      </c>
    </row>
    <row r="13" spans="1:7" ht="14.25" customHeight="1" x14ac:dyDescent="0.25">
      <c r="A13" s="3">
        <v>5</v>
      </c>
      <c r="B13" s="3" t="s">
        <v>16</v>
      </c>
      <c r="C13" s="10"/>
      <c r="D13" s="10"/>
      <c r="E13" s="10" t="s">
        <v>8</v>
      </c>
      <c r="F13" s="6" t="s">
        <v>52</v>
      </c>
      <c r="G13" t="s">
        <v>55</v>
      </c>
    </row>
    <row r="14" spans="1:7" x14ac:dyDescent="0.25">
      <c r="A14" s="16" t="s">
        <v>17</v>
      </c>
      <c r="B14" s="17"/>
      <c r="C14" s="17"/>
      <c r="D14" s="17"/>
      <c r="E14" s="18"/>
      <c r="F14" s="5">
        <f>SUM(F9:F13)</f>
        <v>2250</v>
      </c>
    </row>
    <row r="15" spans="1:7" x14ac:dyDescent="0.25">
      <c r="F15" s="6"/>
    </row>
    <row r="16" spans="1:7" x14ac:dyDescent="0.25">
      <c r="A16" s="19" t="s">
        <v>18</v>
      </c>
      <c r="B16" s="17"/>
      <c r="C16" s="17"/>
      <c r="D16" s="17"/>
      <c r="E16" s="17"/>
      <c r="F16" s="8"/>
    </row>
    <row r="17" spans="1:7" x14ac:dyDescent="0.25">
      <c r="A17" s="1" t="s">
        <v>2</v>
      </c>
      <c r="B17" s="2" t="s">
        <v>3</v>
      </c>
      <c r="C17" s="1" t="s">
        <v>4</v>
      </c>
      <c r="D17" s="1" t="s">
        <v>5</v>
      </c>
      <c r="E17" s="1" t="s">
        <v>6</v>
      </c>
      <c r="F17" s="7" t="s">
        <v>1</v>
      </c>
    </row>
    <row r="18" spans="1:7" x14ac:dyDescent="0.25">
      <c r="A18" s="3">
        <v>1</v>
      </c>
      <c r="B18" s="3" t="s">
        <v>19</v>
      </c>
      <c r="C18" s="10"/>
      <c r="D18" s="10"/>
      <c r="E18" s="10" t="s">
        <v>8</v>
      </c>
      <c r="F18" s="6" t="s">
        <v>52</v>
      </c>
    </row>
    <row r="19" spans="1:7" x14ac:dyDescent="0.25">
      <c r="A19" s="21">
        <v>2</v>
      </c>
      <c r="B19" s="21" t="s">
        <v>20</v>
      </c>
      <c r="C19" s="22">
        <v>10</v>
      </c>
      <c r="D19" s="22" t="s">
        <v>62</v>
      </c>
      <c r="E19" s="22" t="s">
        <v>8</v>
      </c>
      <c r="F19" s="23">
        <v>1500</v>
      </c>
      <c r="G19" s="24"/>
    </row>
    <row r="20" spans="1:7" x14ac:dyDescent="0.25">
      <c r="A20" s="21">
        <v>3</v>
      </c>
      <c r="B20" s="21" t="s">
        <v>21</v>
      </c>
      <c r="C20" s="22">
        <v>70</v>
      </c>
      <c r="D20" s="22" t="s">
        <v>62</v>
      </c>
      <c r="E20" s="22" t="s">
        <v>8</v>
      </c>
      <c r="F20" s="23">
        <v>7700</v>
      </c>
      <c r="G20" s="24"/>
    </row>
    <row r="21" spans="1:7" x14ac:dyDescent="0.25">
      <c r="A21" s="21">
        <v>4</v>
      </c>
      <c r="B21" s="21" t="s">
        <v>22</v>
      </c>
      <c r="C21" s="22">
        <v>18</v>
      </c>
      <c r="D21" s="22" t="s">
        <v>23</v>
      </c>
      <c r="E21" s="22" t="s">
        <v>8</v>
      </c>
      <c r="F21" s="23">
        <v>1800</v>
      </c>
      <c r="G21" s="24"/>
    </row>
    <row r="22" spans="1:7" x14ac:dyDescent="0.25">
      <c r="A22" s="16" t="s">
        <v>24</v>
      </c>
      <c r="B22" s="17"/>
      <c r="C22" s="17"/>
      <c r="D22" s="17"/>
      <c r="E22" s="18"/>
      <c r="F22" s="5">
        <f>SUM(F18:F21)</f>
        <v>11000</v>
      </c>
    </row>
    <row r="23" spans="1:7" x14ac:dyDescent="0.25">
      <c r="F23" s="6"/>
    </row>
    <row r="24" spans="1:7" x14ac:dyDescent="0.25">
      <c r="A24" s="19" t="s">
        <v>25</v>
      </c>
      <c r="B24" s="17"/>
      <c r="C24" s="17"/>
      <c r="D24" s="17"/>
      <c r="E24" s="17"/>
      <c r="F24" s="8"/>
    </row>
    <row r="25" spans="1:7" x14ac:dyDescent="0.25">
      <c r="A25" s="1" t="s">
        <v>2</v>
      </c>
      <c r="B25" s="2" t="s">
        <v>3</v>
      </c>
      <c r="C25" s="1" t="s">
        <v>4</v>
      </c>
      <c r="D25" s="1" t="s">
        <v>5</v>
      </c>
      <c r="E25" s="1" t="s">
        <v>6</v>
      </c>
      <c r="F25" s="5" t="s">
        <v>1</v>
      </c>
    </row>
    <row r="26" spans="1:7" x14ac:dyDescent="0.25">
      <c r="A26" s="3">
        <v>1</v>
      </c>
      <c r="B26" s="3" t="s">
        <v>26</v>
      </c>
      <c r="C26" s="10">
        <v>6529</v>
      </c>
      <c r="D26" s="10" t="s">
        <v>27</v>
      </c>
      <c r="E26" s="10" t="s">
        <v>8</v>
      </c>
      <c r="F26" s="6">
        <v>43318</v>
      </c>
    </row>
    <row r="27" spans="1:7" x14ac:dyDescent="0.25">
      <c r="A27" s="3">
        <v>2</v>
      </c>
      <c r="B27" s="3" t="s">
        <v>28</v>
      </c>
      <c r="C27" s="10"/>
      <c r="D27" s="10"/>
      <c r="E27" s="10" t="s">
        <v>8</v>
      </c>
      <c r="F27" s="6"/>
      <c r="G27" t="s">
        <v>58</v>
      </c>
    </row>
    <row r="28" spans="1:7" x14ac:dyDescent="0.25">
      <c r="A28" s="21">
        <v>3</v>
      </c>
      <c r="B28" s="21" t="s">
        <v>29</v>
      </c>
      <c r="C28" s="22">
        <v>1</v>
      </c>
      <c r="D28" s="22" t="s">
        <v>5</v>
      </c>
      <c r="E28" s="22" t="s">
        <v>8</v>
      </c>
      <c r="F28" s="26">
        <v>37660</v>
      </c>
      <c r="G28" s="25"/>
    </row>
    <row r="29" spans="1:7" x14ac:dyDescent="0.25">
      <c r="A29" s="21">
        <v>4</v>
      </c>
      <c r="B29" s="21" t="s">
        <v>30</v>
      </c>
      <c r="C29" s="22">
        <v>2</v>
      </c>
      <c r="D29" s="22" t="s">
        <v>5</v>
      </c>
      <c r="E29" s="22" t="s">
        <v>8</v>
      </c>
      <c r="F29" s="26"/>
      <c r="G29" s="25"/>
    </row>
    <row r="30" spans="1:7" x14ac:dyDescent="0.25">
      <c r="A30" s="21">
        <v>5</v>
      </c>
      <c r="B30" s="21" t="s">
        <v>31</v>
      </c>
      <c r="C30" s="22"/>
      <c r="D30" s="22"/>
      <c r="E30" s="22" t="s">
        <v>8</v>
      </c>
      <c r="F30" s="26"/>
      <c r="G30" s="24" t="s">
        <v>63</v>
      </c>
    </row>
    <row r="31" spans="1:7" x14ac:dyDescent="0.25">
      <c r="A31" s="21">
        <v>6</v>
      </c>
      <c r="B31" s="21" t="s">
        <v>32</v>
      </c>
      <c r="C31" s="22">
        <v>216</v>
      </c>
      <c r="D31" s="22" t="s">
        <v>27</v>
      </c>
      <c r="E31" s="22" t="s">
        <v>8</v>
      </c>
      <c r="F31" s="26"/>
      <c r="G31" s="25"/>
    </row>
    <row r="32" spans="1:7" x14ac:dyDescent="0.25">
      <c r="A32" s="3">
        <v>7</v>
      </c>
      <c r="B32" s="3" t="s">
        <v>33</v>
      </c>
      <c r="C32" s="10">
        <v>58</v>
      </c>
      <c r="D32" s="10" t="s">
        <v>34</v>
      </c>
      <c r="E32" s="10" t="s">
        <v>8</v>
      </c>
      <c r="F32" s="6" t="s">
        <v>52</v>
      </c>
    </row>
    <row r="33" spans="1:6" x14ac:dyDescent="0.25">
      <c r="A33" s="3">
        <v>8</v>
      </c>
      <c r="B33" s="3" t="s">
        <v>35</v>
      </c>
      <c r="C33" s="10">
        <v>28</v>
      </c>
      <c r="D33" s="10" t="s">
        <v>34</v>
      </c>
      <c r="E33" s="10" t="s">
        <v>8</v>
      </c>
      <c r="F33" s="6"/>
    </row>
    <row r="34" spans="1:6" x14ac:dyDescent="0.25">
      <c r="A34" s="3">
        <v>9</v>
      </c>
      <c r="B34" s="3" t="s">
        <v>36</v>
      </c>
      <c r="C34" s="10">
        <v>49</v>
      </c>
      <c r="D34" s="10" t="s">
        <v>34</v>
      </c>
      <c r="E34" s="10" t="s">
        <v>8</v>
      </c>
      <c r="F34" s="6" t="s">
        <v>59</v>
      </c>
    </row>
    <row r="35" spans="1:6" x14ac:dyDescent="0.25">
      <c r="A35" s="3">
        <v>10</v>
      </c>
      <c r="B35" s="3" t="s">
        <v>37</v>
      </c>
      <c r="C35" s="10"/>
      <c r="D35" s="10"/>
      <c r="E35" s="10" t="s">
        <v>8</v>
      </c>
      <c r="F35" s="6">
        <v>10000</v>
      </c>
    </row>
    <row r="36" spans="1:6" x14ac:dyDescent="0.25">
      <c r="A36" s="3">
        <v>11</v>
      </c>
      <c r="B36" s="3" t="s">
        <v>38</v>
      </c>
      <c r="C36" s="10"/>
      <c r="D36" s="10"/>
      <c r="E36" s="10" t="s">
        <v>8</v>
      </c>
      <c r="F36" s="6"/>
    </row>
    <row r="37" spans="1:6" x14ac:dyDescent="0.25">
      <c r="A37" s="3">
        <v>12</v>
      </c>
      <c r="B37" s="3" t="s">
        <v>39</v>
      </c>
      <c r="C37" s="10"/>
      <c r="D37" s="10"/>
      <c r="E37" s="10" t="s">
        <v>8</v>
      </c>
      <c r="F37" s="20">
        <v>123550</v>
      </c>
    </row>
    <row r="38" spans="1:6" x14ac:dyDescent="0.25">
      <c r="A38" s="3">
        <v>13</v>
      </c>
      <c r="B38" s="3" t="s">
        <v>40</v>
      </c>
      <c r="C38" s="10"/>
      <c r="D38" s="10"/>
      <c r="E38" s="10" t="s">
        <v>8</v>
      </c>
      <c r="F38" s="20"/>
    </row>
    <row r="39" spans="1:6" x14ac:dyDescent="0.25">
      <c r="A39" s="3">
        <v>14</v>
      </c>
      <c r="B39" s="3" t="s">
        <v>41</v>
      </c>
      <c r="C39" s="10"/>
      <c r="D39" s="10"/>
      <c r="E39" s="10" t="s">
        <v>8</v>
      </c>
      <c r="F39" s="20"/>
    </row>
    <row r="40" spans="1:6" x14ac:dyDescent="0.25">
      <c r="A40" s="3">
        <v>15</v>
      </c>
      <c r="B40" s="3" t="s">
        <v>42</v>
      </c>
      <c r="C40" s="10"/>
      <c r="D40" s="10"/>
      <c r="E40" s="10" t="s">
        <v>8</v>
      </c>
      <c r="F40" s="20"/>
    </row>
    <row r="41" spans="1:6" x14ac:dyDescent="0.25">
      <c r="A41" s="16" t="s">
        <v>43</v>
      </c>
      <c r="B41" s="17"/>
      <c r="C41" s="17"/>
      <c r="D41" s="17"/>
      <c r="E41" s="18"/>
      <c r="F41" s="7">
        <f>SUM(F26:F40)</f>
        <v>214528</v>
      </c>
    </row>
    <row r="42" spans="1:6" x14ac:dyDescent="0.25">
      <c r="F42" s="6"/>
    </row>
    <row r="43" spans="1:6" x14ac:dyDescent="0.25">
      <c r="A43" s="19" t="s">
        <v>44</v>
      </c>
      <c r="B43" s="17"/>
      <c r="C43" s="17"/>
      <c r="D43" s="17"/>
      <c r="E43" s="17"/>
      <c r="F43" s="8"/>
    </row>
    <row r="44" spans="1:6" x14ac:dyDescent="0.25">
      <c r="A44" s="1" t="s">
        <v>2</v>
      </c>
      <c r="B44" s="2" t="s">
        <v>3</v>
      </c>
      <c r="C44" s="1" t="s">
        <v>4</v>
      </c>
      <c r="D44" s="1" t="s">
        <v>5</v>
      </c>
      <c r="E44" s="1" t="s">
        <v>6</v>
      </c>
      <c r="F44" s="7" t="s">
        <v>1</v>
      </c>
    </row>
    <row r="45" spans="1:6" x14ac:dyDescent="0.25">
      <c r="A45" s="3">
        <v>1</v>
      </c>
      <c r="B45" s="3" t="s">
        <v>45</v>
      </c>
      <c r="C45" s="10">
        <v>2</v>
      </c>
      <c r="D45" s="10" t="s">
        <v>46</v>
      </c>
      <c r="E45" s="10" t="s">
        <v>8</v>
      </c>
      <c r="F45" s="6"/>
    </row>
    <row r="46" spans="1:6" x14ac:dyDescent="0.25">
      <c r="A46" s="3">
        <v>2</v>
      </c>
      <c r="B46" s="3" t="s">
        <v>47</v>
      </c>
      <c r="C46" s="10">
        <v>13</v>
      </c>
      <c r="D46" s="10" t="s">
        <v>46</v>
      </c>
      <c r="E46" s="10" t="s">
        <v>8</v>
      </c>
      <c r="F46" s="20">
        <v>8800</v>
      </c>
    </row>
    <row r="47" spans="1:6" x14ac:dyDescent="0.25">
      <c r="A47" s="3">
        <v>3</v>
      </c>
      <c r="B47" s="3" t="s">
        <v>48</v>
      </c>
      <c r="C47" s="10">
        <v>3</v>
      </c>
      <c r="D47" s="10" t="s">
        <v>46</v>
      </c>
      <c r="E47" s="10" t="s">
        <v>8</v>
      </c>
      <c r="F47" s="20"/>
    </row>
    <row r="48" spans="1:6" x14ac:dyDescent="0.25">
      <c r="A48" s="3">
        <v>4</v>
      </c>
      <c r="B48" s="3" t="s">
        <v>49</v>
      </c>
      <c r="C48" s="10"/>
      <c r="D48" s="10"/>
      <c r="E48" s="10" t="s">
        <v>8</v>
      </c>
      <c r="F48" s="6"/>
    </row>
    <row r="49" spans="1:6" x14ac:dyDescent="0.25">
      <c r="A49" s="16" t="s">
        <v>50</v>
      </c>
      <c r="B49" s="17"/>
      <c r="C49" s="17"/>
      <c r="D49" s="17"/>
      <c r="E49" s="18"/>
      <c r="F49" s="7">
        <f>SUM(F45:F48)</f>
        <v>8800</v>
      </c>
    </row>
    <row r="50" spans="1:6" x14ac:dyDescent="0.25">
      <c r="A50" s="27"/>
      <c r="B50" s="28"/>
      <c r="C50" s="28"/>
      <c r="D50" s="28"/>
      <c r="E50" s="28"/>
      <c r="F50" s="29"/>
    </row>
    <row r="51" spans="1:6" x14ac:dyDescent="0.25">
      <c r="A51" s="30">
        <v>1</v>
      </c>
      <c r="B51" s="32" t="s">
        <v>64</v>
      </c>
      <c r="C51" s="32">
        <v>160</v>
      </c>
      <c r="D51" s="32" t="s">
        <v>62</v>
      </c>
      <c r="E51" s="32"/>
      <c r="F51" s="31">
        <v>20200</v>
      </c>
    </row>
    <row r="52" spans="1:6" x14ac:dyDescent="0.25">
      <c r="A52" s="27"/>
      <c r="B52" s="28"/>
      <c r="C52" s="28"/>
      <c r="D52" s="28"/>
      <c r="E52" s="28"/>
      <c r="F52" s="29"/>
    </row>
    <row r="54" spans="1:6" x14ac:dyDescent="0.25">
      <c r="A54" s="11"/>
      <c r="B54" s="11"/>
      <c r="C54" s="13" t="s">
        <v>51</v>
      </c>
      <c r="D54" s="14"/>
      <c r="E54" s="15"/>
      <c r="F54" s="12">
        <f>F5+F14+F22+F41+F49+F51</f>
        <v>256778</v>
      </c>
    </row>
  </sheetData>
  <mergeCells count="14">
    <mergeCell ref="F28:F31"/>
    <mergeCell ref="F37:F40"/>
    <mergeCell ref="F46:F47"/>
    <mergeCell ref="A22:E22"/>
    <mergeCell ref="A24:E24"/>
    <mergeCell ref="A41:E41"/>
    <mergeCell ref="A43:E43"/>
    <mergeCell ref="C54:E54"/>
    <mergeCell ref="A49:E49"/>
    <mergeCell ref="A1:E1"/>
    <mergeCell ref="A5:E5"/>
    <mergeCell ref="A7:E7"/>
    <mergeCell ref="A14:E14"/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Annette</cp:lastModifiedBy>
  <dcterms:created xsi:type="dcterms:W3CDTF">2025-12-02T17:56:22Z</dcterms:created>
  <dcterms:modified xsi:type="dcterms:W3CDTF">2025-12-12T18:10:49Z</dcterms:modified>
</cp:coreProperties>
</file>